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ved/Desktop/Interview Files/Tesla Interview Reg Credit/"/>
    </mc:Choice>
  </mc:AlternateContent>
  <xr:revisionPtr revIDLastSave="0" documentId="13_ncr:1_{49C2A5B2-9280-5C4B-92C8-A30C2F72E1EA}" xr6:coauthVersionLast="47" xr6:coauthVersionMax="47" xr10:uidLastSave="{00000000-0000-0000-0000-000000000000}"/>
  <bookViews>
    <workbookView xWindow="0" yWindow="740" windowWidth="29400" windowHeight="17120" xr2:uid="{03C0A096-A992-AE42-B08C-58C675174947}"/>
  </bookViews>
  <sheets>
    <sheet name="Tesla AUS Rev &amp; Costs" sheetId="4" r:id="rId1"/>
    <sheet name="Tesla Saudi Rev &amp; Costs" sheetId="5" r:id="rId2"/>
    <sheet name="AUS Car &amp; EV Sales (Backup)" sheetId="2" r:id="rId3"/>
    <sheet name="Saudi Car &amp; EV Sales (Backup)" sheetId="1" r:id="rId4"/>
    <sheet name="EV Sales &amp; Tesla Sales (Backup)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1" i="4" l="1"/>
  <c r="AK6" i="4"/>
  <c r="AJ6" i="4"/>
  <c r="AI6" i="4"/>
  <c r="J8" i="3"/>
  <c r="K8" i="3"/>
  <c r="L8" i="3"/>
  <c r="M8" i="3"/>
  <c r="J9" i="3"/>
  <c r="K9" i="3"/>
  <c r="L9" i="3"/>
  <c r="M9" i="3"/>
  <c r="J10" i="3"/>
  <c r="K10" i="3"/>
  <c r="L10" i="3"/>
  <c r="M10" i="3"/>
  <c r="J11" i="3"/>
  <c r="K11" i="3"/>
  <c r="L11" i="3"/>
  <c r="M11" i="3"/>
  <c r="J12" i="3"/>
  <c r="K12" i="3"/>
  <c r="L12" i="3"/>
  <c r="M12" i="3"/>
  <c r="J13" i="3"/>
  <c r="K13" i="3"/>
  <c r="L13" i="3"/>
  <c r="M13" i="3"/>
  <c r="J14" i="3"/>
  <c r="K14" i="3"/>
  <c r="L14" i="3"/>
  <c r="M14" i="3"/>
  <c r="J15" i="3"/>
  <c r="K15" i="3"/>
  <c r="L15" i="3"/>
  <c r="M15" i="3"/>
  <c r="K7" i="3"/>
  <c r="L7" i="3"/>
  <c r="M7" i="3"/>
  <c r="J7" i="3"/>
  <c r="R5" i="4"/>
  <c r="R9" i="4" s="1"/>
  <c r="S5" i="4"/>
  <c r="S9" i="4" s="1"/>
  <c r="T5" i="4"/>
  <c r="T9" i="4" s="1"/>
  <c r="U5" i="4"/>
  <c r="U9" i="4" s="1"/>
  <c r="V5" i="4"/>
  <c r="W5" i="4"/>
  <c r="X5" i="4"/>
  <c r="Y5" i="4"/>
  <c r="Y9" i="4" s="1"/>
  <c r="Z5" i="4"/>
  <c r="Z9" i="4" s="1"/>
  <c r="AA5" i="4"/>
  <c r="AA9" i="4" s="1"/>
  <c r="AB5" i="4"/>
  <c r="AB9" i="4" s="1"/>
  <c r="Q5" i="4"/>
  <c r="E5" i="5"/>
  <c r="F5" i="5"/>
  <c r="F9" i="5" s="1"/>
  <c r="G5" i="5"/>
  <c r="H5" i="5"/>
  <c r="H9" i="5" s="1"/>
  <c r="I5" i="5"/>
  <c r="I9" i="5" s="1"/>
  <c r="J5" i="5"/>
  <c r="J9" i="5" s="1"/>
  <c r="K5" i="5"/>
  <c r="K9" i="5" s="1"/>
  <c r="L5" i="5"/>
  <c r="L9" i="5" s="1"/>
  <c r="M5" i="5"/>
  <c r="N5" i="5"/>
  <c r="O5" i="5"/>
  <c r="D5" i="5"/>
  <c r="S14" i="5"/>
  <c r="S11" i="5"/>
  <c r="D17" i="5" s="1"/>
  <c r="D18" i="5" s="1"/>
  <c r="S10" i="5"/>
  <c r="D11" i="5" s="1"/>
  <c r="D12" i="5" s="1"/>
  <c r="S6" i="5"/>
  <c r="G9" i="5"/>
  <c r="M9" i="5"/>
  <c r="N9" i="5"/>
  <c r="O9" i="5"/>
  <c r="E9" i="5"/>
  <c r="AF14" i="4"/>
  <c r="Q17" i="4"/>
  <c r="R17" i="4" s="1"/>
  <c r="AF10" i="4"/>
  <c r="Q11" i="4" s="1"/>
  <c r="R11" i="4" s="1"/>
  <c r="AF6" i="4"/>
  <c r="V9" i="4"/>
  <c r="W9" i="4"/>
  <c r="X9" i="4"/>
  <c r="O29" i="2"/>
  <c r="O30" i="2" s="1"/>
  <c r="I26" i="2" s="1"/>
  <c r="I27" i="2" s="1"/>
  <c r="I28" i="2" s="1"/>
  <c r="I29" i="2" s="1"/>
  <c r="O24" i="2"/>
  <c r="O25" i="2" s="1"/>
  <c r="I21" i="2" s="1"/>
  <c r="O13" i="2"/>
  <c r="O14" i="2" s="1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H7" i="2"/>
  <c r="G7" i="2"/>
  <c r="O8" i="2"/>
  <c r="O3" i="2"/>
  <c r="O4" i="2" s="1"/>
  <c r="F20" i="2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AI7" i="4" l="1"/>
  <c r="H20" i="2"/>
  <c r="I22" i="2"/>
  <c r="E11" i="5"/>
  <c r="E12" i="5" s="1"/>
  <c r="E13" i="5" s="1"/>
  <c r="E17" i="5"/>
  <c r="F17" i="5" s="1"/>
  <c r="F18" i="5" s="1"/>
  <c r="F19" i="5" s="1"/>
  <c r="R12" i="4"/>
  <c r="R13" i="4" s="1"/>
  <c r="S11" i="4"/>
  <c r="R18" i="4"/>
  <c r="S17" i="4"/>
  <c r="T17" i="4" s="1"/>
  <c r="U17" i="4" s="1"/>
  <c r="V17" i="4" s="1"/>
  <c r="W17" i="4" s="1"/>
  <c r="X17" i="4" s="1"/>
  <c r="Y17" i="4" s="1"/>
  <c r="Z17" i="4" s="1"/>
  <c r="AA17" i="4" s="1"/>
  <c r="AB17" i="4" s="1"/>
  <c r="AB18" i="4" s="1"/>
  <c r="F21" i="2"/>
  <c r="E20" i="2"/>
  <c r="J20" i="2" s="1"/>
  <c r="G20" i="2"/>
  <c r="H21" i="2"/>
  <c r="C6" i="1"/>
  <c r="F6" i="1" s="1"/>
  <c r="C7" i="1"/>
  <c r="C8" i="1"/>
  <c r="C9" i="1"/>
  <c r="C10" i="1"/>
  <c r="C11" i="1"/>
  <c r="F11" i="1" s="1"/>
  <c r="C12" i="1"/>
  <c r="C13" i="1"/>
  <c r="C14" i="1"/>
  <c r="C15" i="1"/>
  <c r="C16" i="1"/>
  <c r="C5" i="1"/>
  <c r="A6" i="1"/>
  <c r="F16" i="1" l="1"/>
  <c r="R19" i="4"/>
  <c r="R20" i="4" s="1"/>
  <c r="R14" i="4"/>
  <c r="Z18" i="4"/>
  <c r="I23" i="2"/>
  <c r="X18" i="4"/>
  <c r="S18" i="4"/>
  <c r="AA18" i="4"/>
  <c r="V18" i="4"/>
  <c r="U18" i="4"/>
  <c r="E18" i="5"/>
  <c r="E19" i="5" s="1"/>
  <c r="F11" i="5"/>
  <c r="F12" i="5" s="1"/>
  <c r="F13" i="5" s="1"/>
  <c r="G17" i="5"/>
  <c r="G18" i="5" s="1"/>
  <c r="G19" i="5" s="1"/>
  <c r="T18" i="4"/>
  <c r="W18" i="4"/>
  <c r="T11" i="4"/>
  <c r="S12" i="4"/>
  <c r="S13" i="4" s="1"/>
  <c r="Y18" i="4"/>
  <c r="A7" i="1"/>
  <c r="A8" i="1" s="1"/>
  <c r="A9" i="1" s="1"/>
  <c r="A10" i="1" s="1"/>
  <c r="A11" i="1" s="1"/>
  <c r="C20" i="2"/>
  <c r="D20" i="2"/>
  <c r="H22" i="2"/>
  <c r="G21" i="2"/>
  <c r="F22" i="2"/>
  <c r="E21" i="2"/>
  <c r="J21" i="2" s="1"/>
  <c r="G11" i="5" l="1"/>
  <c r="G12" i="5" s="1"/>
  <c r="G13" i="5" s="1"/>
  <c r="I24" i="2"/>
  <c r="R22" i="4"/>
  <c r="K10" i="1"/>
  <c r="K11" i="1" s="1"/>
  <c r="E7" i="1" s="1"/>
  <c r="E8" i="1" s="1"/>
  <c r="E9" i="1" s="1"/>
  <c r="E10" i="1" s="1"/>
  <c r="S19" i="4"/>
  <c r="S20" i="4" s="1"/>
  <c r="S14" i="4"/>
  <c r="E20" i="5"/>
  <c r="E21" i="5" s="1"/>
  <c r="E14" i="5"/>
  <c r="H17" i="5"/>
  <c r="H18" i="5" s="1"/>
  <c r="H19" i="5" s="1"/>
  <c r="F14" i="5"/>
  <c r="F20" i="5"/>
  <c r="F21" i="5" s="1"/>
  <c r="H11" i="5"/>
  <c r="H12" i="5" s="1"/>
  <c r="H13" i="5" s="1"/>
  <c r="U11" i="4"/>
  <c r="T12" i="4"/>
  <c r="T13" i="4" s="1"/>
  <c r="A12" i="1"/>
  <c r="D21" i="2"/>
  <c r="C21" i="2"/>
  <c r="F23" i="2"/>
  <c r="E22" i="2"/>
  <c r="J22" i="2" s="1"/>
  <c r="H23" i="2"/>
  <c r="G22" i="2"/>
  <c r="S22" i="4" l="1"/>
  <c r="F7" i="1"/>
  <c r="T19" i="4"/>
  <c r="T20" i="4" s="1"/>
  <c r="T14" i="4"/>
  <c r="E23" i="5"/>
  <c r="G20" i="5"/>
  <c r="G21" i="5" s="1"/>
  <c r="G14" i="5"/>
  <c r="I11" i="5"/>
  <c r="I12" i="5" s="1"/>
  <c r="I13" i="5" s="1"/>
  <c r="F23" i="5"/>
  <c r="I17" i="5"/>
  <c r="I18" i="5" s="1"/>
  <c r="I19" i="5" s="1"/>
  <c r="V11" i="4"/>
  <c r="U12" i="4"/>
  <c r="U13" i="4" s="1"/>
  <c r="F8" i="1"/>
  <c r="A13" i="1"/>
  <c r="D22" i="2"/>
  <c r="C22" i="2"/>
  <c r="H24" i="2"/>
  <c r="G23" i="2"/>
  <c r="F24" i="2"/>
  <c r="E23" i="2"/>
  <c r="J23" i="2" s="1"/>
  <c r="T22" i="4" l="1"/>
  <c r="U19" i="4"/>
  <c r="U20" i="4" s="1"/>
  <c r="U14" i="4"/>
  <c r="J17" i="5"/>
  <c r="J18" i="5" s="1"/>
  <c r="J19" i="5" s="1"/>
  <c r="H20" i="5"/>
  <c r="H21" i="5" s="1"/>
  <c r="H14" i="5"/>
  <c r="J11" i="5"/>
  <c r="J12" i="5" s="1"/>
  <c r="J13" i="5" s="1"/>
  <c r="G23" i="5"/>
  <c r="W11" i="4"/>
  <c r="V12" i="4"/>
  <c r="V13" i="4" s="1"/>
  <c r="F10" i="1"/>
  <c r="F9" i="1"/>
  <c r="A14" i="1"/>
  <c r="C23" i="2"/>
  <c r="D23" i="2"/>
  <c r="F25" i="2"/>
  <c r="E24" i="2"/>
  <c r="J24" i="2" s="1"/>
  <c r="H25" i="2"/>
  <c r="G24" i="2"/>
  <c r="U22" i="4" l="1"/>
  <c r="V19" i="4"/>
  <c r="V20" i="4" s="1"/>
  <c r="V14" i="4"/>
  <c r="I20" i="5"/>
  <c r="I21" i="5" s="1"/>
  <c r="I14" i="5"/>
  <c r="K11" i="5"/>
  <c r="K12" i="5" s="1"/>
  <c r="K13" i="5" s="1"/>
  <c r="H23" i="5"/>
  <c r="K17" i="5"/>
  <c r="K18" i="5" s="1"/>
  <c r="K19" i="5" s="1"/>
  <c r="X11" i="4"/>
  <c r="W12" i="4"/>
  <c r="W13" i="4" s="1"/>
  <c r="A15" i="1"/>
  <c r="D24" i="2"/>
  <c r="C24" i="2"/>
  <c r="H26" i="2"/>
  <c r="G25" i="2"/>
  <c r="E25" i="2"/>
  <c r="J25" i="2" s="1"/>
  <c r="O9" i="2"/>
  <c r="F26" i="2" s="1"/>
  <c r="V22" i="4" l="1"/>
  <c r="W19" i="4"/>
  <c r="W20" i="4" s="1"/>
  <c r="W14" i="4"/>
  <c r="L17" i="5"/>
  <c r="L18" i="5" s="1"/>
  <c r="L19" i="5" s="1"/>
  <c r="J20" i="5"/>
  <c r="J21" i="5" s="1"/>
  <c r="J14" i="5"/>
  <c r="L11" i="5"/>
  <c r="L12" i="5" s="1"/>
  <c r="L13" i="5" s="1"/>
  <c r="I23" i="5"/>
  <c r="Y11" i="4"/>
  <c r="X12" i="4"/>
  <c r="X13" i="4" s="1"/>
  <c r="A16" i="1"/>
  <c r="C25" i="2"/>
  <c r="D25" i="2"/>
  <c r="F27" i="2"/>
  <c r="E26" i="2"/>
  <c r="J26" i="2" s="1"/>
  <c r="H27" i="2"/>
  <c r="G26" i="2"/>
  <c r="W22" i="4" l="1"/>
  <c r="K15" i="1"/>
  <c r="K16" i="1" s="1"/>
  <c r="E12" i="1" s="1"/>
  <c r="E13" i="1" s="1"/>
  <c r="E14" i="1" s="1"/>
  <c r="E15" i="1" s="1"/>
  <c r="X19" i="4"/>
  <c r="X20" i="4" s="1"/>
  <c r="X14" i="4"/>
  <c r="K14" i="5"/>
  <c r="K20" i="5"/>
  <c r="K21" i="5" s="1"/>
  <c r="M11" i="5"/>
  <c r="M12" i="5" s="1"/>
  <c r="M13" i="5" s="1"/>
  <c r="J23" i="5"/>
  <c r="M17" i="5"/>
  <c r="M18" i="5" s="1"/>
  <c r="M19" i="5" s="1"/>
  <c r="Z11" i="4"/>
  <c r="Y12" i="4"/>
  <c r="Y13" i="4" s="1"/>
  <c r="C26" i="2"/>
  <c r="D26" i="2"/>
  <c r="H28" i="2"/>
  <c r="G27" i="2"/>
  <c r="F28" i="2"/>
  <c r="E27" i="2"/>
  <c r="J27" i="2" s="1"/>
  <c r="F12" i="1" l="1"/>
  <c r="X22" i="4"/>
  <c r="Y19" i="4"/>
  <c r="Y20" i="4" s="1"/>
  <c r="Y14" i="4"/>
  <c r="N17" i="5"/>
  <c r="N18" i="5" s="1"/>
  <c r="N19" i="5" s="1"/>
  <c r="L14" i="5"/>
  <c r="L20" i="5"/>
  <c r="L21" i="5" s="1"/>
  <c r="N11" i="5"/>
  <c r="N12" i="5" s="1"/>
  <c r="N13" i="5" s="1"/>
  <c r="K23" i="5"/>
  <c r="AA11" i="4"/>
  <c r="Z12" i="4"/>
  <c r="Z13" i="4" s="1"/>
  <c r="F13" i="1"/>
  <c r="D27" i="2"/>
  <c r="C27" i="2"/>
  <c r="F29" i="2"/>
  <c r="E28" i="2"/>
  <c r="J28" i="2" s="1"/>
  <c r="H29" i="2"/>
  <c r="G28" i="2"/>
  <c r="Y22" i="4" l="1"/>
  <c r="Z19" i="4"/>
  <c r="Z20" i="4" s="1"/>
  <c r="Z14" i="4"/>
  <c r="M20" i="5"/>
  <c r="M21" i="5" s="1"/>
  <c r="M14" i="5"/>
  <c r="L23" i="5"/>
  <c r="O11" i="5"/>
  <c r="O12" i="5" s="1"/>
  <c r="O13" i="5" s="1"/>
  <c r="O17" i="5"/>
  <c r="AB11" i="4"/>
  <c r="AB12" i="4" s="1"/>
  <c r="AB13" i="4" s="1"/>
  <c r="AA12" i="4"/>
  <c r="AA13" i="4" s="1"/>
  <c r="F15" i="1"/>
  <c r="F14" i="1"/>
  <c r="D28" i="2"/>
  <c r="C28" i="2"/>
  <c r="H30" i="2"/>
  <c r="G30" i="2" s="1"/>
  <c r="G29" i="2"/>
  <c r="F30" i="2"/>
  <c r="E30" i="2" s="1"/>
  <c r="J30" i="2" s="1"/>
  <c r="E29" i="2"/>
  <c r="J29" i="2" s="1"/>
  <c r="Z22" i="4" l="1"/>
  <c r="AA19" i="4"/>
  <c r="AA20" i="4" s="1"/>
  <c r="AA14" i="4"/>
  <c r="AB19" i="4"/>
  <c r="AB20" i="4" s="1"/>
  <c r="AB14" i="4"/>
  <c r="O18" i="5"/>
  <c r="O19" i="5" s="1"/>
  <c r="N14" i="5"/>
  <c r="N20" i="5"/>
  <c r="N21" i="5" s="1"/>
  <c r="O14" i="5"/>
  <c r="O20" i="5"/>
  <c r="M23" i="5"/>
  <c r="D29" i="2"/>
  <c r="C29" i="2"/>
  <c r="D30" i="2"/>
  <c r="C30" i="2"/>
  <c r="AA22" i="4" l="1"/>
  <c r="AB22" i="4"/>
  <c r="O21" i="5"/>
  <c r="O23" i="5" s="1"/>
  <c r="N23" i="5"/>
  <c r="AC23" i="4" l="1"/>
  <c r="P24" i="5"/>
  <c r="Q25" i="4" l="1"/>
</calcChain>
</file>

<file path=xl/sharedStrings.xml><?xml version="1.0" encoding="utf-8"?>
<sst xmlns="http://schemas.openxmlformats.org/spreadsheetml/2006/main" count="136" uniqueCount="85">
  <si>
    <t>Source: PWC</t>
  </si>
  <si>
    <t>Year</t>
  </si>
  <si>
    <t>Tot. Vehicle Sales</t>
  </si>
  <si>
    <t>EV Sales</t>
  </si>
  <si>
    <t>EV Sales %</t>
  </si>
  <si>
    <t>CAGR</t>
  </si>
  <si>
    <t>BEV Sales</t>
  </si>
  <si>
    <t>PHEV Sales</t>
  </si>
  <si>
    <t>Total EV Sales</t>
  </si>
  <si>
    <t>EV Market Share</t>
  </si>
  <si>
    <t>Total Car Sales</t>
  </si>
  <si>
    <t>Source</t>
  </si>
  <si>
    <t>Source: Electric Vehicle Council (EVC)</t>
  </si>
  <si>
    <t>Source: Australian Automobile Association (AAA)</t>
  </si>
  <si>
    <t>Total Car Sales Growth Rate</t>
  </si>
  <si>
    <t>EV share by 2030</t>
  </si>
  <si>
    <t>No. of time periods</t>
  </si>
  <si>
    <t>EV share by 2035</t>
  </si>
  <si>
    <t>PHEV share by 2035</t>
  </si>
  <si>
    <t>Annual decline rate</t>
  </si>
  <si>
    <t>BEV Share</t>
  </si>
  <si>
    <t>PHEV Share</t>
  </si>
  <si>
    <t>Country</t>
  </si>
  <si>
    <t>Tesla Sales</t>
  </si>
  <si>
    <t>United States</t>
  </si>
  <si>
    <t>China</t>
  </si>
  <si>
    <t>Australia</t>
  </si>
  <si>
    <t>Germany</t>
  </si>
  <si>
    <t>United Kingdom</t>
  </si>
  <si>
    <t>France</t>
  </si>
  <si>
    <t>Canada</t>
  </si>
  <si>
    <t>Norway</t>
  </si>
  <si>
    <t>Tesla Sales Source</t>
  </si>
  <si>
    <t>UAE</t>
  </si>
  <si>
    <t>Tesla Market Share</t>
  </si>
  <si>
    <t>Tesla share by 2035</t>
  </si>
  <si>
    <t>Tesla share by 2030</t>
  </si>
  <si>
    <t>Tesla Vehicles Sold</t>
  </si>
  <si>
    <t>Global EV Sales Source</t>
  </si>
  <si>
    <t>Total Vehicle Delivered in 2024</t>
  </si>
  <si>
    <t>Total Revenue from Regulatory Credit Trading in 2024</t>
  </si>
  <si>
    <t>Credit Revenue per Vehicle</t>
  </si>
  <si>
    <t>Total Revenue from Automotive Sales in 2024</t>
  </si>
  <si>
    <t>Total Cost from Automotive Sales in 2024</t>
  </si>
  <si>
    <t>Sale Revenue per Vehicle</t>
  </si>
  <si>
    <t>Sale Cost per Vehicle</t>
  </si>
  <si>
    <t>Total SG&amp;A Cost in 2024</t>
  </si>
  <si>
    <t>SG&amp;A Cost as % of Sales Revenue</t>
  </si>
  <si>
    <t>Inflation</t>
  </si>
  <si>
    <t>Revenue from Vehicle Sales</t>
  </si>
  <si>
    <t>Revenue per Sale (w/ Inflation)</t>
  </si>
  <si>
    <t>Revenue from Credit Trading</t>
  </si>
  <si>
    <t>Cost per Sale (w/ Inflation)</t>
  </si>
  <si>
    <t>Cost to Vehicle Sales</t>
  </si>
  <si>
    <t>SG&amp;A Costs (as % of Sales Revenue)</t>
  </si>
  <si>
    <t xml:space="preserve">  Total Revenues</t>
  </si>
  <si>
    <t xml:space="preserve">  Total Costs</t>
  </si>
  <si>
    <t xml:space="preserve">  Net Income</t>
  </si>
  <si>
    <t>Total Vehicle Sales</t>
  </si>
  <si>
    <t>Import Tarrif</t>
  </si>
  <si>
    <t>Cost per Sale (w/ 15% Tariffs)</t>
  </si>
  <si>
    <t>Revenue per Sale (w/ 15% Tariff)</t>
  </si>
  <si>
    <t>Saudi Arabia</t>
  </si>
  <si>
    <t>Total Vehicles Delivered in 2024</t>
  </si>
  <si>
    <t>SG&amp;A Cost as % of Sales Revenue in 2024</t>
  </si>
  <si>
    <t>(Created from basic CAGR reports assuming higher market share than Australia initially due to less competition)</t>
  </si>
  <si>
    <t>(Tot Vehicle Sales, EV Sales and Market Share obtained from PWC report)</t>
  </si>
  <si>
    <t>(Sales until 2024 obtained thorugh various public resources. Projection from 2025 for Tot Vehicle Sales at a YoY growth of 2%)</t>
  </si>
  <si>
    <t>(EV Sales 2025 projections based on governments mandate to have 50% EVs by 2030 and 100% EVs by 2035</t>
  </si>
  <si>
    <t>(Tesla market share of 10% initially based on Tesla's market share in EU)</t>
  </si>
  <si>
    <t>(Credit Trading revenue considered as 2.9% of revenue from vehicle sales based on last 3 years 10-K reports)</t>
  </si>
  <si>
    <t>Australia with higher net income by</t>
  </si>
  <si>
    <t>Sum of Net Income over 2025 - 2035</t>
  </si>
  <si>
    <t>Source: 2024 Tesla Form 10-K Reports</t>
  </si>
  <si>
    <t>(Assumption based on Federal Govt mandates to have 50% Evs)</t>
  </si>
  <si>
    <t>(Assumption based on a few States mandates to have 100% EVs by 2035)</t>
  </si>
  <si>
    <t/>
  </si>
  <si>
    <t>(Assumption based on PHEV share to be almost non-existant by 2035)</t>
  </si>
  <si>
    <t>(Assumption based on reaching peak in 2030 due to Federal Govt mandates)</t>
  </si>
  <si>
    <t>(Assumption based on lower incentives after 2030 and increase in competition)</t>
  </si>
  <si>
    <t>(Assumption based on reaching peak in 2030 due to Vision 2030 goals)</t>
  </si>
  <si>
    <t>Revenue from Automotive Sales ($M)</t>
  </si>
  <si>
    <t>Revenue from Regulatory Credits ($M)</t>
  </si>
  <si>
    <t>Regulatory Credits/ Auto Sales</t>
  </si>
  <si>
    <t>Mean over last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</si>
</sst>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rgb="FF393C41"/>
      <name val="Arial"/>
      <family val="2"/>
    </font>
    <font>
      <sz val="11"/>
      <color rgb="FF000000"/>
      <name val="Times New Roman"/>
      <family val="1"/>
    </font>
    <font>
      <b/>
      <sz val="20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medium">
        <color theme="3" tint="0.499984740745262"/>
      </bottom>
      <diagonal/>
    </border>
    <border>
      <left/>
      <right/>
      <top/>
      <bottom style="medium">
        <color theme="3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9" fontId="0" fillId="0" borderId="0" xfId="1" applyFon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0" borderId="0" xfId="2"/>
    <xf numFmtId="0" fontId="3" fillId="0" borderId="0" xfId="2" applyFont="1"/>
    <xf numFmtId="0" fontId="4" fillId="0" borderId="0" xfId="0" applyFont="1"/>
    <xf numFmtId="0" fontId="5" fillId="0" borderId="0" xfId="0" applyFont="1"/>
    <xf numFmtId="164" fontId="0" fillId="0" borderId="0" xfId="1" applyNumberFormat="1" applyFont="1"/>
    <xf numFmtId="10" fontId="0" fillId="0" borderId="0" xfId="1" applyNumberFormat="1" applyFont="1"/>
    <xf numFmtId="164" fontId="0" fillId="0" borderId="0" xfId="0" applyNumberFormat="1"/>
    <xf numFmtId="3" fontId="6" fillId="0" borderId="0" xfId="0" applyNumberFormat="1" applyFont="1"/>
    <xf numFmtId="3" fontId="7" fillId="0" borderId="0" xfId="0" applyNumberFormat="1" applyFont="1"/>
    <xf numFmtId="0" fontId="0" fillId="2" borderId="0" xfId="0" applyFill="1"/>
    <xf numFmtId="9" fontId="0" fillId="2" borderId="0" xfId="0" applyNumberFormat="1" applyFill="1"/>
    <xf numFmtId="0" fontId="4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4" fillId="3" borderId="2" xfId="0" applyFont="1" applyFill="1" applyBorder="1"/>
    <xf numFmtId="3" fontId="0" fillId="3" borderId="2" xfId="0" applyNumberFormat="1" applyFill="1" applyBorder="1"/>
    <xf numFmtId="0" fontId="4" fillId="3" borderId="3" xfId="0" applyFont="1" applyFill="1" applyBorder="1"/>
    <xf numFmtId="3" fontId="0" fillId="3" borderId="3" xfId="0" applyNumberFormat="1" applyFill="1" applyBorder="1"/>
    <xf numFmtId="0" fontId="0" fillId="3" borderId="3" xfId="0" applyFill="1" applyBorder="1"/>
    <xf numFmtId="0" fontId="4" fillId="0" borderId="4" xfId="0" applyFont="1" applyBorder="1"/>
    <xf numFmtId="0" fontId="8" fillId="0" borderId="0" xfId="0" applyFont="1"/>
    <xf numFmtId="0" fontId="9" fillId="0" borderId="0" xfId="0" applyFont="1"/>
    <xf numFmtId="0" fontId="10" fillId="4" borderId="0" xfId="0" applyFont="1" applyFill="1"/>
    <xf numFmtId="3" fontId="4" fillId="4" borderId="0" xfId="0" applyNumberFormat="1" applyFont="1" applyFill="1"/>
    <xf numFmtId="3" fontId="10" fillId="4" borderId="0" xfId="0" applyNumberFormat="1" applyFont="1" applyFill="1"/>
    <xf numFmtId="0" fontId="0" fillId="0" borderId="5" xfId="0" applyBorder="1"/>
    <xf numFmtId="9" fontId="0" fillId="0" borderId="6" xfId="1" applyFont="1" applyBorder="1"/>
    <xf numFmtId="0" fontId="4" fillId="0" borderId="6" xfId="0" applyFont="1" applyBorder="1"/>
    <xf numFmtId="0" fontId="0" fillId="0" borderId="6" xfId="0" applyBorder="1"/>
    <xf numFmtId="0" fontId="4" fillId="0" borderId="7" xfId="0" applyFont="1" applyBorder="1"/>
    <xf numFmtId="0" fontId="0" fillId="0" borderId="7" xfId="0" applyBorder="1"/>
    <xf numFmtId="9" fontId="0" fillId="0" borderId="7" xfId="0" applyNumberFormat="1" applyBorder="1"/>
    <xf numFmtId="0" fontId="0" fillId="0" borderId="0" xfId="0" quotePrefix="1"/>
    <xf numFmtId="9" fontId="0" fillId="0" borderId="7" xfId="1" applyFont="1" applyBorder="1"/>
    <xf numFmtId="3" fontId="0" fillId="0" borderId="7" xfId="0" applyNumberFormat="1" applyBorder="1"/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0" xfId="0" applyBorder="1"/>
    <xf numFmtId="0" fontId="10" fillId="0" borderId="0" xfId="0" applyFont="1" applyBorder="1"/>
    <xf numFmtId="0" fontId="0" fillId="0" borderId="8" xfId="0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4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icdata.com/en/indicator/australia/motor-vehicles-sales-growth" TargetMode="External"/><Relationship Id="rId2" Type="http://schemas.openxmlformats.org/officeDocument/2006/relationships/hyperlink" Target="https://www.aaa.asn.au/research-data/electric-vehicle/" TargetMode="External"/><Relationship Id="rId1" Type="http://schemas.openxmlformats.org/officeDocument/2006/relationships/hyperlink" Target="https://electricvehiclecouncil.com.au/wp-content/uploads/2024/12/1734312344781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wc.com/m1/en/publications/documents/2024/emobility-outlook-2024-ksa-edition.pd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ea.org/data-and-statistics/data-tools/global-ev-data-explorer" TargetMode="External"/><Relationship Id="rId1" Type="http://schemas.openxmlformats.org/officeDocument/2006/relationships/hyperlink" Target="https://worldpopulationreview.com/country-rankings/tesla-sales-by-cou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D70C-8645-CA49-83F0-C7A6B4B9BA7C}">
  <sheetPr>
    <tabColor theme="7" tint="0.59999389629810485"/>
  </sheetPr>
  <dimension ref="A1:AK30"/>
  <sheetViews>
    <sheetView tabSelected="1" workbookViewId="0">
      <selection activeCell="Y29" sqref="Y29"/>
    </sheetView>
  </sheetViews>
  <sheetFormatPr baseColWidth="10" defaultRowHeight="16" x14ac:dyDescent="0.2"/>
  <cols>
    <col min="1" max="1" width="14.6640625" customWidth="1"/>
    <col min="2" max="2" width="15.83203125" customWidth="1"/>
    <col min="3" max="3" width="31.83203125" bestFit="1" customWidth="1"/>
    <col min="4" max="16" width="0" hidden="1" customWidth="1"/>
    <col min="17" max="17" width="11.1640625" bestFit="1" customWidth="1"/>
    <col min="18" max="18" width="11.5" bestFit="1" customWidth="1"/>
    <col min="19" max="29" width="13" bestFit="1" customWidth="1"/>
    <col min="30" max="30" width="10.83203125" style="46"/>
    <col min="31" max="31" width="44.33203125" bestFit="1" customWidth="1"/>
    <col min="32" max="32" width="14.33203125" bestFit="1" customWidth="1"/>
    <col min="34" max="34" width="32.33203125" bestFit="1" customWidth="1"/>
  </cols>
  <sheetData>
    <row r="1" spans="1:37" ht="27" x14ac:dyDescent="0.35">
      <c r="A1" s="25" t="s">
        <v>26</v>
      </c>
    </row>
    <row r="2" spans="1:37" x14ac:dyDescent="0.2">
      <c r="A2" s="14" t="s">
        <v>48</v>
      </c>
      <c r="B2" s="15">
        <v>0.03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E2" s="44"/>
    </row>
    <row r="3" spans="1:37" x14ac:dyDescent="0.2">
      <c r="C3" s="7" t="s">
        <v>1</v>
      </c>
      <c r="D3" s="7">
        <v>2011</v>
      </c>
      <c r="E3" s="7">
        <v>2012</v>
      </c>
      <c r="F3" s="7">
        <v>2013</v>
      </c>
      <c r="G3" s="7">
        <v>2014</v>
      </c>
      <c r="H3" s="7">
        <v>2015</v>
      </c>
      <c r="I3" s="7">
        <v>2016</v>
      </c>
      <c r="J3" s="7">
        <v>2017</v>
      </c>
      <c r="K3" s="7">
        <v>2018</v>
      </c>
      <c r="L3" s="7">
        <v>2019</v>
      </c>
      <c r="M3" s="7">
        <v>2020</v>
      </c>
      <c r="N3" s="7">
        <v>2021</v>
      </c>
      <c r="O3" s="7">
        <v>2022</v>
      </c>
      <c r="P3" s="7">
        <v>2023</v>
      </c>
      <c r="Q3" s="24">
        <v>2024</v>
      </c>
      <c r="R3" s="24">
        <v>2025</v>
      </c>
      <c r="S3" s="24">
        <v>2026</v>
      </c>
      <c r="T3" s="24">
        <v>2027</v>
      </c>
      <c r="U3" s="24">
        <v>2028</v>
      </c>
      <c r="V3" s="24">
        <v>2029</v>
      </c>
      <c r="W3" s="24">
        <v>2030</v>
      </c>
      <c r="X3" s="24">
        <v>2031</v>
      </c>
      <c r="Y3" s="24">
        <v>2032</v>
      </c>
      <c r="Z3" s="24">
        <v>2033</v>
      </c>
      <c r="AA3" s="24">
        <v>2034</v>
      </c>
      <c r="AB3" s="24">
        <v>2035</v>
      </c>
      <c r="AE3" s="45" t="s">
        <v>73</v>
      </c>
      <c r="AF3" s="2"/>
      <c r="AH3" s="30"/>
      <c r="AI3" s="7">
        <v>2024</v>
      </c>
      <c r="AJ3" s="7">
        <v>2023</v>
      </c>
      <c r="AK3" s="7">
        <v>2022</v>
      </c>
    </row>
    <row r="4" spans="1:37" x14ac:dyDescent="0.2">
      <c r="B4" s="26" t="s">
        <v>67</v>
      </c>
      <c r="C4" s="7" t="s">
        <v>58</v>
      </c>
      <c r="E4" s="2">
        <v>1265000</v>
      </c>
      <c r="F4" s="2">
        <v>1465000</v>
      </c>
      <c r="G4" s="2">
        <v>1101666.6666666667</v>
      </c>
      <c r="H4" s="2">
        <v>1180666.6666666667</v>
      </c>
      <c r="I4" s="2">
        <v>1140833.3333333335</v>
      </c>
      <c r="J4" s="2">
        <v>1202105.2631578948</v>
      </c>
      <c r="K4" s="2">
        <v>1055238.0952380954</v>
      </c>
      <c r="L4" s="2">
        <v>1033538.4615384616</v>
      </c>
      <c r="M4" s="2">
        <v>884615.38461538462</v>
      </c>
      <c r="N4" s="2">
        <v>1059743.5897435897</v>
      </c>
      <c r="O4" s="2">
        <v>1032887.1391076115</v>
      </c>
      <c r="P4" s="2">
        <v>1164923.0769230768</v>
      </c>
      <c r="Q4" s="2">
        <v>1182225</v>
      </c>
      <c r="R4" s="2">
        <v>1205869.5</v>
      </c>
      <c r="S4" s="2">
        <v>1229986.8900000001</v>
      </c>
      <c r="T4" s="2">
        <v>1254586.6278000001</v>
      </c>
      <c r="U4" s="2">
        <v>1279678.3603560003</v>
      </c>
      <c r="V4" s="2">
        <v>1305271.9275631204</v>
      </c>
      <c r="W4" s="2">
        <v>1331377.3661143829</v>
      </c>
      <c r="X4" s="2">
        <v>1358004.9134366706</v>
      </c>
      <c r="Y4" s="2">
        <v>1385165.0117054039</v>
      </c>
      <c r="Z4" s="2">
        <v>1412868.3119395119</v>
      </c>
      <c r="AA4" s="2">
        <v>1441125.6781783022</v>
      </c>
      <c r="AB4" s="2">
        <v>1469948.1917418684</v>
      </c>
      <c r="AE4" s="44" t="s">
        <v>40</v>
      </c>
      <c r="AF4" s="2">
        <v>2763000000</v>
      </c>
      <c r="AH4" s="30" t="s">
        <v>81</v>
      </c>
      <c r="AI4" s="2">
        <v>72480</v>
      </c>
      <c r="AJ4">
        <v>78509</v>
      </c>
      <c r="AK4">
        <v>67210</v>
      </c>
    </row>
    <row r="5" spans="1:37" x14ac:dyDescent="0.2">
      <c r="B5" s="26" t="s">
        <v>68</v>
      </c>
      <c r="C5" s="7" t="s">
        <v>8</v>
      </c>
      <c r="D5">
        <v>49</v>
      </c>
      <c r="E5">
        <v>253</v>
      </c>
      <c r="F5">
        <v>293</v>
      </c>
      <c r="G5" s="2">
        <v>1322</v>
      </c>
      <c r="H5" s="2">
        <v>1771</v>
      </c>
      <c r="I5" s="2">
        <v>1369</v>
      </c>
      <c r="J5" s="2">
        <v>2284</v>
      </c>
      <c r="K5" s="2">
        <v>2216</v>
      </c>
      <c r="L5" s="2">
        <v>6718</v>
      </c>
      <c r="M5" s="2">
        <v>6900</v>
      </c>
      <c r="N5" s="2">
        <v>20665</v>
      </c>
      <c r="O5" s="2">
        <v>39353</v>
      </c>
      <c r="P5" s="2">
        <v>98436</v>
      </c>
      <c r="Q5" s="2">
        <f>Q6*Q4</f>
        <v>114273</v>
      </c>
      <c r="R5" s="2">
        <f t="shared" ref="R5:AB5" si="0">R6*R4</f>
        <v>153284.49232407648</v>
      </c>
      <c r="S5" s="2">
        <f t="shared" si="0"/>
        <v>205614.0609509671</v>
      </c>
      <c r="T5" s="2">
        <f t="shared" si="0"/>
        <v>275808.34446947841</v>
      </c>
      <c r="U5" s="2">
        <f t="shared" si="0"/>
        <v>369966.15176592901</v>
      </c>
      <c r="V5" s="2">
        <f t="shared" si="0"/>
        <v>496268.35517167364</v>
      </c>
      <c r="W5" s="2">
        <f t="shared" si="0"/>
        <v>665688.68305719178</v>
      </c>
      <c r="X5" s="2">
        <f t="shared" si="0"/>
        <v>763705.37400788127</v>
      </c>
      <c r="Y5" s="2">
        <f t="shared" si="0"/>
        <v>876154.14402111585</v>
      </c>
      <c r="Z5" s="2">
        <f t="shared" si="0"/>
        <v>1005159.9873611107</v>
      </c>
      <c r="AA5" s="2">
        <f t="shared" si="0"/>
        <v>1153160.7846477735</v>
      </c>
      <c r="AB5" s="2">
        <f t="shared" si="0"/>
        <v>1322953.3725676809</v>
      </c>
      <c r="AE5" s="44" t="s">
        <v>39</v>
      </c>
      <c r="AF5" s="2">
        <v>1789226</v>
      </c>
      <c r="AH5" s="30" t="s">
        <v>82</v>
      </c>
      <c r="AI5">
        <v>2763</v>
      </c>
      <c r="AJ5">
        <v>1790</v>
      </c>
      <c r="AK5">
        <v>1776</v>
      </c>
    </row>
    <row r="6" spans="1:37" x14ac:dyDescent="0.2">
      <c r="C6" s="7" t="s">
        <v>9</v>
      </c>
      <c r="D6" s="3">
        <v>0</v>
      </c>
      <c r="E6" s="3">
        <v>2.0000000000000001E-4</v>
      </c>
      <c r="F6" s="3">
        <v>2.0000000000000001E-4</v>
      </c>
      <c r="G6" s="3">
        <v>1.1999999999999999E-3</v>
      </c>
      <c r="H6" s="3">
        <v>1.5E-3</v>
      </c>
      <c r="I6" s="3">
        <v>1.1999999999999999E-3</v>
      </c>
      <c r="J6" s="3">
        <v>1.9E-3</v>
      </c>
      <c r="K6" s="3">
        <v>2.0999999999999999E-3</v>
      </c>
      <c r="L6" s="3">
        <v>6.4999999999999997E-3</v>
      </c>
      <c r="M6" s="3">
        <v>7.7999999999999996E-3</v>
      </c>
      <c r="N6" s="3">
        <v>1.95E-2</v>
      </c>
      <c r="O6" s="3">
        <v>3.8100000000000002E-2</v>
      </c>
      <c r="P6" s="3">
        <v>8.4500000000000006E-2</v>
      </c>
      <c r="Q6" s="11">
        <v>9.6659265368267466E-2</v>
      </c>
      <c r="R6" s="11">
        <v>0.12711532410768867</v>
      </c>
      <c r="S6" s="11">
        <v>0.16716768497505455</v>
      </c>
      <c r="T6" s="11">
        <v>0.21984001611202122</v>
      </c>
      <c r="U6" s="11">
        <v>0.28910870358314589</v>
      </c>
      <c r="V6" s="11">
        <v>0.38020304021874024</v>
      </c>
      <c r="W6" s="11">
        <v>0.50000000000000022</v>
      </c>
      <c r="X6" s="11">
        <v>0.56237305657104752</v>
      </c>
      <c r="Y6" s="11">
        <v>0.63252690951412494</v>
      </c>
      <c r="Z6" s="11">
        <v>0.7114321829337934</v>
      </c>
      <c r="AA6" s="11">
        <v>0.80018058251897972</v>
      </c>
      <c r="AB6" s="11">
        <v>0.89999999999999958</v>
      </c>
      <c r="AE6" s="44" t="s">
        <v>41</v>
      </c>
      <c r="AF6" s="2">
        <f>AF4/AF5</f>
        <v>1544.2431531846732</v>
      </c>
      <c r="AH6" s="30" t="s">
        <v>83</v>
      </c>
      <c r="AI6" s="9">
        <f>AI5/AI4</f>
        <v>3.812086092715232E-2</v>
      </c>
      <c r="AJ6" s="9">
        <f t="shared" ref="AJ6:AK6" si="1">AJ5/AJ4</f>
        <v>2.279993376555554E-2</v>
      </c>
      <c r="AK6" s="9">
        <f t="shared" si="1"/>
        <v>2.6424639190596639E-2</v>
      </c>
    </row>
    <row r="7" spans="1:37" x14ac:dyDescent="0.2">
      <c r="C7" s="7"/>
      <c r="AE7" s="44"/>
      <c r="AH7" s="30" t="s">
        <v>84</v>
      </c>
      <c r="AI7" s="11">
        <f>AVERAGE(AI6:AK6)</f>
        <v>2.9115144627768166E-2</v>
      </c>
    </row>
    <row r="8" spans="1:37" x14ac:dyDescent="0.2">
      <c r="B8" s="26" t="s">
        <v>69</v>
      </c>
      <c r="C8" s="7" t="s">
        <v>34</v>
      </c>
      <c r="R8" s="3">
        <v>0.1</v>
      </c>
      <c r="S8" s="3">
        <v>0.11247461131420949</v>
      </c>
      <c r="T8" s="3">
        <v>0.12650538190282501</v>
      </c>
      <c r="U8" s="3">
        <v>0.14228643658675874</v>
      </c>
      <c r="V8" s="3">
        <v>0.16003611650379604</v>
      </c>
      <c r="W8" s="3">
        <v>0.18</v>
      </c>
      <c r="X8" s="3">
        <v>0.16597942406671098</v>
      </c>
      <c r="Y8" s="3">
        <v>0.1530509400750949</v>
      </c>
      <c r="Z8" s="3">
        <v>0.14112948270296083</v>
      </c>
      <c r="AA8" s="3">
        <v>0.13013661254372383</v>
      </c>
      <c r="AB8" s="3">
        <v>0.12</v>
      </c>
      <c r="AE8" s="44" t="s">
        <v>42</v>
      </c>
      <c r="AF8" s="2">
        <v>72480000000</v>
      </c>
    </row>
    <row r="9" spans="1:37" x14ac:dyDescent="0.2">
      <c r="C9" s="16" t="s">
        <v>37</v>
      </c>
      <c r="D9" s="17"/>
      <c r="E9" s="17"/>
      <c r="F9" s="17"/>
      <c r="G9" s="17"/>
      <c r="H9" s="18"/>
      <c r="I9" s="18"/>
      <c r="J9" s="18"/>
      <c r="K9" s="18"/>
      <c r="L9" s="18"/>
      <c r="M9" s="17"/>
      <c r="N9" s="17"/>
      <c r="O9" s="17"/>
      <c r="P9" s="17"/>
      <c r="Q9" s="17"/>
      <c r="R9" s="18">
        <f>R8*R5</f>
        <v>15328.449232407649</v>
      </c>
      <c r="S9" s="18">
        <f t="shared" ref="S9:AB9" si="2">S8*S5</f>
        <v>23126.361586196206</v>
      </c>
      <c r="T9" s="18">
        <f t="shared" si="2"/>
        <v>34891.239949097282</v>
      </c>
      <c r="U9" s="18">
        <f t="shared" si="2"/>
        <v>52641.165392490017</v>
      </c>
      <c r="V9" s="18">
        <f t="shared" si="2"/>
        <v>79420.860305401191</v>
      </c>
      <c r="W9" s="18">
        <f t="shared" si="2"/>
        <v>119823.96295029452</v>
      </c>
      <c r="X9" s="18">
        <f t="shared" si="2"/>
        <v>126759.37813448024</v>
      </c>
      <c r="Y9" s="18">
        <f t="shared" si="2"/>
        <v>134096.21539312188</v>
      </c>
      <c r="Z9" s="18">
        <f t="shared" si="2"/>
        <v>141857.70904998822</v>
      </c>
      <c r="AA9" s="18">
        <f t="shared" si="2"/>
        <v>150068.43823232385</v>
      </c>
      <c r="AB9" s="18">
        <f t="shared" si="2"/>
        <v>158754.4047081217</v>
      </c>
      <c r="AE9" s="44" t="s">
        <v>43</v>
      </c>
      <c r="AF9" s="2">
        <v>61870000000</v>
      </c>
    </row>
    <row r="10" spans="1:37" x14ac:dyDescent="0.2">
      <c r="AE10" s="44" t="s">
        <v>44</v>
      </c>
      <c r="AF10" s="2">
        <f>AF8/AF5</f>
        <v>40509.136352814014</v>
      </c>
    </row>
    <row r="11" spans="1:37" x14ac:dyDescent="0.2">
      <c r="C11" s="7" t="s">
        <v>50</v>
      </c>
      <c r="Q11" s="2">
        <f>AF10</f>
        <v>40509.136352814014</v>
      </c>
      <c r="R11" s="2">
        <f>Q11 * (1+$B$2)</f>
        <v>41724.410443398432</v>
      </c>
      <c r="S11" s="2">
        <f t="shared" ref="S11:AB11" si="3">R11 * (1+$B$2)</f>
        <v>42976.142756700385</v>
      </c>
      <c r="T11" s="2">
        <f t="shared" si="3"/>
        <v>44265.427039401395</v>
      </c>
      <c r="U11" s="2">
        <f t="shared" si="3"/>
        <v>45593.389850583437</v>
      </c>
      <c r="V11" s="2">
        <f t="shared" si="3"/>
        <v>46961.191546100941</v>
      </c>
      <c r="W11" s="2">
        <f t="shared" si="3"/>
        <v>48370.027292483974</v>
      </c>
      <c r="X11" s="2">
        <f t="shared" si="3"/>
        <v>49821.128111258491</v>
      </c>
      <c r="Y11" s="2">
        <f t="shared" si="3"/>
        <v>51315.761954596244</v>
      </c>
      <c r="Z11" s="2">
        <f t="shared" si="3"/>
        <v>52855.234813234136</v>
      </c>
      <c r="AA11" s="2">
        <f t="shared" si="3"/>
        <v>54440.891857631163</v>
      </c>
      <c r="AB11" s="2">
        <f t="shared" si="3"/>
        <v>56074.1186133601</v>
      </c>
      <c r="AE11" s="44" t="s">
        <v>45</v>
      </c>
      <c r="AF11" s="2">
        <f>AF9/AF5</f>
        <v>34579.197932513838</v>
      </c>
      <c r="AG11" s="1"/>
    </row>
    <row r="12" spans="1:37" x14ac:dyDescent="0.2">
      <c r="C12" s="7" t="s">
        <v>49</v>
      </c>
      <c r="R12" s="2">
        <f>R11*R9</f>
        <v>639570507.2337724</v>
      </c>
      <c r="S12" s="2">
        <f t="shared" ref="S12:AB12" si="4">S11*S9</f>
        <v>993881816.97144008</v>
      </c>
      <c r="T12" s="2">
        <f t="shared" si="4"/>
        <v>1544475636.281013</v>
      </c>
      <c r="U12" s="2">
        <f t="shared" si="4"/>
        <v>2400089175.9288383</v>
      </c>
      <c r="V12" s="2">
        <f t="shared" si="4"/>
        <v>3729698233.5580702</v>
      </c>
      <c r="W12" s="2">
        <f t="shared" si="4"/>
        <v>5795888358.1993341</v>
      </c>
      <c r="X12" s="2">
        <f t="shared" si="4"/>
        <v>6315295217.3413982</v>
      </c>
      <c r="Y12" s="2">
        <f t="shared" si="4"/>
        <v>6881249468.1257067</v>
      </c>
      <c r="Z12" s="2">
        <f t="shared" si="4"/>
        <v>7497922521.9045763</v>
      </c>
      <c r="AA12" s="2">
        <f t="shared" si="4"/>
        <v>8169859617.0495443</v>
      </c>
      <c r="AB12" s="2">
        <f t="shared" si="4"/>
        <v>8902013319.9965897</v>
      </c>
      <c r="AE12" s="44"/>
      <c r="AF12" s="2"/>
    </row>
    <row r="13" spans="1:37" x14ac:dyDescent="0.2">
      <c r="B13" s="26" t="s">
        <v>70</v>
      </c>
      <c r="C13" s="16" t="s">
        <v>51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8">
        <f>R12* 2.9%</f>
        <v>18547544.709779397</v>
      </c>
      <c r="S13" s="18">
        <f t="shared" ref="S13:AB13" si="5">S12* 2.9%</f>
        <v>28822572.69217176</v>
      </c>
      <c r="T13" s="18">
        <f t="shared" si="5"/>
        <v>44789793.452149376</v>
      </c>
      <c r="U13" s="18">
        <f t="shared" si="5"/>
        <v>69602586.101936311</v>
      </c>
      <c r="V13" s="18">
        <f t="shared" si="5"/>
        <v>108161248.77318403</v>
      </c>
      <c r="W13" s="18">
        <f t="shared" si="5"/>
        <v>168080762.38778067</v>
      </c>
      <c r="X13" s="18">
        <f t="shared" si="5"/>
        <v>183143561.30290052</v>
      </c>
      <c r="Y13" s="18">
        <f t="shared" si="5"/>
        <v>199556234.57564548</v>
      </c>
      <c r="Z13" s="18">
        <f t="shared" si="5"/>
        <v>217439753.13523269</v>
      </c>
      <c r="AA13" s="18">
        <f t="shared" si="5"/>
        <v>236925928.89443678</v>
      </c>
      <c r="AB13" s="18">
        <f t="shared" si="5"/>
        <v>258158386.27990109</v>
      </c>
      <c r="AE13" s="44" t="s">
        <v>46</v>
      </c>
      <c r="AF13" s="2">
        <v>5150000000</v>
      </c>
    </row>
    <row r="14" spans="1:37" ht="17" thickBot="1" x14ac:dyDescent="0.25">
      <c r="C14" s="21" t="s">
        <v>55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2">
        <f>SUM(R12:R13)</f>
        <v>658118051.94355178</v>
      </c>
      <c r="S14" s="22">
        <f t="shared" ref="S14:AB14" si="6">SUM(S12:S13)</f>
        <v>1022704389.6636119</v>
      </c>
      <c r="T14" s="22">
        <f t="shared" si="6"/>
        <v>1589265429.7331624</v>
      </c>
      <c r="U14" s="22">
        <f t="shared" si="6"/>
        <v>2469691762.0307746</v>
      </c>
      <c r="V14" s="22">
        <f t="shared" si="6"/>
        <v>3837859482.331254</v>
      </c>
      <c r="W14" s="22">
        <f t="shared" si="6"/>
        <v>5963969120.5871143</v>
      </c>
      <c r="X14" s="22">
        <f t="shared" si="6"/>
        <v>6498438778.6442986</v>
      </c>
      <c r="Y14" s="22">
        <f t="shared" si="6"/>
        <v>7080805702.7013521</v>
      </c>
      <c r="Z14" s="22">
        <f t="shared" si="6"/>
        <v>7715362275.0398092</v>
      </c>
      <c r="AA14" s="22">
        <f t="shared" si="6"/>
        <v>8406785545.9439812</v>
      </c>
      <c r="AB14" s="22">
        <f t="shared" si="6"/>
        <v>9160171706.2764912</v>
      </c>
      <c r="AE14" s="44" t="s">
        <v>47</v>
      </c>
      <c r="AF14" s="10">
        <f>AF13/AF8</f>
        <v>7.1054083885209715E-2</v>
      </c>
    </row>
    <row r="15" spans="1:37" x14ac:dyDescent="0.2">
      <c r="C15" s="7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E15" s="44"/>
      <c r="AF15" s="2"/>
    </row>
    <row r="16" spans="1:37" x14ac:dyDescent="0.2">
      <c r="AE16" s="44"/>
    </row>
    <row r="17" spans="3:34" x14ac:dyDescent="0.2">
      <c r="C17" s="7" t="s">
        <v>52</v>
      </c>
      <c r="Q17" s="2">
        <f>AF11</f>
        <v>34579.197932513838</v>
      </c>
      <c r="R17" s="2">
        <f>Q17 * (1+$B$2)</f>
        <v>35616.573870489257</v>
      </c>
      <c r="S17" s="2">
        <f t="shared" ref="S17:AB17" si="7">R17 * (1+$B$2)</f>
        <v>36685.071086603937</v>
      </c>
      <c r="T17" s="2">
        <f t="shared" si="7"/>
        <v>37785.623219202054</v>
      </c>
      <c r="U17" s="2">
        <f t="shared" si="7"/>
        <v>38919.191915778116</v>
      </c>
      <c r="V17" s="2">
        <f t="shared" si="7"/>
        <v>40086.767673251459</v>
      </c>
      <c r="W17" s="2">
        <f t="shared" si="7"/>
        <v>41289.370703449007</v>
      </c>
      <c r="X17" s="2">
        <f t="shared" si="7"/>
        <v>42528.05182455248</v>
      </c>
      <c r="Y17" s="2">
        <f t="shared" si="7"/>
        <v>43803.893379289053</v>
      </c>
      <c r="Z17" s="2">
        <f t="shared" si="7"/>
        <v>45118.010180667727</v>
      </c>
      <c r="AA17" s="2">
        <f t="shared" si="7"/>
        <v>46471.550486087763</v>
      </c>
      <c r="AB17" s="2">
        <f t="shared" si="7"/>
        <v>47865.6970006704</v>
      </c>
    </row>
    <row r="18" spans="3:34" x14ac:dyDescent="0.2">
      <c r="C18" s="7" t="s">
        <v>53</v>
      </c>
      <c r="R18" s="2">
        <f>R17 * R9</f>
        <v>545946844.40609133</v>
      </c>
      <c r="S18" s="2">
        <f t="shared" ref="S18:AB18" si="8">S17 * S9</f>
        <v>848392218.76411438</v>
      </c>
      <c r="T18" s="2">
        <f t="shared" si="8"/>
        <v>1318387246.3673606</v>
      </c>
      <c r="U18" s="2">
        <f t="shared" si="8"/>
        <v>2048751618.5805361</v>
      </c>
      <c r="V18" s="2">
        <f t="shared" si="8"/>
        <v>3183725575.4723763</v>
      </c>
      <c r="W18" s="2">
        <f t="shared" si="8"/>
        <v>4947456025.4110498</v>
      </c>
      <c r="X18" s="2">
        <f t="shared" si="8"/>
        <v>5390829402.5512199</v>
      </c>
      <c r="Y18" s="2">
        <f t="shared" si="8"/>
        <v>5873936321.6464901</v>
      </c>
      <c r="Z18" s="2">
        <f t="shared" si="8"/>
        <v>6400337561.1235685</v>
      </c>
      <c r="AA18" s="2">
        <f t="shared" si="8"/>
        <v>6973913003.6817808</v>
      </c>
      <c r="AB18" s="2">
        <f t="shared" si="8"/>
        <v>7598890233.280756</v>
      </c>
    </row>
    <row r="19" spans="3:34" x14ac:dyDescent="0.2">
      <c r="C19" s="16" t="s">
        <v>54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8">
        <f t="shared" ref="R19:AB19" si="9">R12 * $AF$14</f>
        <v>45444096.471494593</v>
      </c>
      <c r="S19" s="18">
        <f t="shared" si="9"/>
        <v>70619361.995073348</v>
      </c>
      <c r="T19" s="18">
        <f t="shared" si="9"/>
        <v>109741301.41897374</v>
      </c>
      <c r="U19" s="18">
        <f t="shared" si="9"/>
        <v>170536137.63843152</v>
      </c>
      <c r="V19" s="18">
        <f t="shared" si="9"/>
        <v>265010291.15375361</v>
      </c>
      <c r="W19" s="18">
        <f t="shared" si="9"/>
        <v>411821537.59280592</v>
      </c>
      <c r="X19" s="18">
        <f t="shared" si="9"/>
        <v>448727516.13283944</v>
      </c>
      <c r="Y19" s="18">
        <f t="shared" si="9"/>
        <v>488940876.9432587</v>
      </c>
      <c r="Z19" s="18">
        <f t="shared" si="9"/>
        <v>532758015.83621097</v>
      </c>
      <c r="AA19" s="18">
        <f t="shared" si="9"/>
        <v>580501890.56022561</v>
      </c>
      <c r="AB19" s="18">
        <f t="shared" si="9"/>
        <v>632524401.18629193</v>
      </c>
    </row>
    <row r="20" spans="3:34" ht="17" thickBot="1" x14ac:dyDescent="0.25">
      <c r="C20" s="21" t="s">
        <v>56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2">
        <f>SUM(R18:R19)</f>
        <v>591390940.87758589</v>
      </c>
      <c r="S20" s="22">
        <f t="shared" ref="S20:AB20" si="10">SUM(S18:S19)</f>
        <v>919011580.7591877</v>
      </c>
      <c r="T20" s="22">
        <f t="shared" si="10"/>
        <v>1428128547.7863343</v>
      </c>
      <c r="U20" s="22">
        <f t="shared" si="10"/>
        <v>2219287756.2189674</v>
      </c>
      <c r="V20" s="22">
        <f t="shared" si="10"/>
        <v>3448735866.6261301</v>
      </c>
      <c r="W20" s="22">
        <f t="shared" si="10"/>
        <v>5359277563.0038557</v>
      </c>
      <c r="X20" s="22">
        <f t="shared" si="10"/>
        <v>5839556918.6840591</v>
      </c>
      <c r="Y20" s="22">
        <f t="shared" si="10"/>
        <v>6362877198.5897484</v>
      </c>
      <c r="Z20" s="22">
        <f t="shared" si="10"/>
        <v>6933095576.9597797</v>
      </c>
      <c r="AA20" s="22">
        <f t="shared" si="10"/>
        <v>7554414894.2420063</v>
      </c>
      <c r="AB20" s="22">
        <f t="shared" si="10"/>
        <v>8231414634.4670477</v>
      </c>
    </row>
    <row r="22" spans="3:34" ht="17" thickBot="1" x14ac:dyDescent="0.25">
      <c r="C22" s="21" t="s">
        <v>57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2">
        <f>R14 - R20</f>
        <v>66727111.065965891</v>
      </c>
      <c r="S22" s="22">
        <f t="shared" ref="S22:AA22" si="11">S14 - S20</f>
        <v>103692808.90442419</v>
      </c>
      <c r="T22" s="22">
        <f t="shared" si="11"/>
        <v>161136881.94682813</v>
      </c>
      <c r="U22" s="22">
        <f t="shared" si="11"/>
        <v>250404005.81180716</v>
      </c>
      <c r="V22" s="22">
        <f t="shared" si="11"/>
        <v>389123615.7051239</v>
      </c>
      <c r="W22" s="22">
        <f t="shared" si="11"/>
        <v>604691557.58325863</v>
      </c>
      <c r="X22" s="22">
        <f t="shared" si="11"/>
        <v>658881859.96023941</v>
      </c>
      <c r="Y22" s="22">
        <f t="shared" si="11"/>
        <v>717928504.11160374</v>
      </c>
      <c r="Z22" s="22">
        <f t="shared" si="11"/>
        <v>782266698.08002949</v>
      </c>
      <c r="AA22" s="22">
        <f t="shared" si="11"/>
        <v>852370651.70197487</v>
      </c>
      <c r="AB22" s="22">
        <f>AB14 - AB20</f>
        <v>928757071.80944347</v>
      </c>
    </row>
    <row r="23" spans="3:34" x14ac:dyDescent="0.2">
      <c r="R23" s="2"/>
      <c r="S23" s="2"/>
      <c r="T23" s="2"/>
      <c r="U23" s="2"/>
      <c r="V23" s="2"/>
      <c r="W23" s="2"/>
      <c r="X23" s="2"/>
      <c r="Y23" s="2"/>
      <c r="Z23" s="2"/>
      <c r="AA23" s="2"/>
      <c r="AB23" s="27" t="s">
        <v>72</v>
      </c>
      <c r="AC23" s="28">
        <f>SUM(R22:AB22)</f>
        <v>5515980766.6806993</v>
      </c>
    </row>
    <row r="24" spans="3:34" x14ac:dyDescent="0.2">
      <c r="W24" s="1"/>
    </row>
    <row r="25" spans="3:34" x14ac:dyDescent="0.2">
      <c r="C25" s="27" t="s">
        <v>71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9">
        <f>AC23 - 'Tesla Saudi Rev &amp; Costs'!P24</f>
        <v>610552183.47562313</v>
      </c>
      <c r="AC25" s="2"/>
      <c r="AH25" s="1"/>
    </row>
    <row r="27" spans="3:34" x14ac:dyDescent="0.2">
      <c r="U27" s="2"/>
    </row>
    <row r="28" spans="3:34" x14ac:dyDescent="0.2">
      <c r="U28" s="1"/>
      <c r="AH28" s="1"/>
    </row>
    <row r="30" spans="3:34" x14ac:dyDescent="0.2">
      <c r="U30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D616-0D0C-AD4C-ABD9-394A3EA33734}">
  <sheetPr>
    <tabColor theme="9" tint="0.39997558519241921"/>
  </sheetPr>
  <dimension ref="A1:S26"/>
  <sheetViews>
    <sheetView workbookViewId="0">
      <selection activeCell="R28" sqref="R28"/>
    </sheetView>
  </sheetViews>
  <sheetFormatPr baseColWidth="10" defaultRowHeight="16" x14ac:dyDescent="0.2"/>
  <cols>
    <col min="1" max="1" width="16.5" bestFit="1" customWidth="1"/>
    <col min="2" max="2" width="21.83203125" customWidth="1"/>
    <col min="3" max="3" width="31.33203125" bestFit="1" customWidth="1"/>
    <col min="5" max="5" width="11.1640625" bestFit="1" customWidth="1"/>
    <col min="7" max="12" width="12.6640625" bestFit="1" customWidth="1"/>
    <col min="13" max="15" width="13.6640625" bestFit="1" customWidth="1"/>
    <col min="16" max="16" width="12.6640625" bestFit="1" customWidth="1"/>
    <col min="17" max="17" width="10.83203125" style="46"/>
    <col min="18" max="18" width="44.33203125" bestFit="1" customWidth="1"/>
    <col min="19" max="19" width="13.6640625" bestFit="1" customWidth="1"/>
  </cols>
  <sheetData>
    <row r="1" spans="1:19" ht="27" x14ac:dyDescent="0.35">
      <c r="A1" s="25" t="s">
        <v>62</v>
      </c>
    </row>
    <row r="2" spans="1:19" x14ac:dyDescent="0.2">
      <c r="A2" s="14" t="s">
        <v>48</v>
      </c>
      <c r="B2" s="15">
        <v>0.02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R2" s="44"/>
    </row>
    <row r="3" spans="1:19" x14ac:dyDescent="0.2">
      <c r="A3" s="14" t="s">
        <v>59</v>
      </c>
      <c r="B3" s="15">
        <v>0.15</v>
      </c>
      <c r="C3" s="7" t="s">
        <v>1</v>
      </c>
      <c r="D3" s="24">
        <v>2024</v>
      </c>
      <c r="E3" s="24">
        <v>2025</v>
      </c>
      <c r="F3" s="24">
        <v>2026</v>
      </c>
      <c r="G3" s="24">
        <v>2027</v>
      </c>
      <c r="H3" s="24">
        <v>2028</v>
      </c>
      <c r="I3" s="24">
        <v>2029</v>
      </c>
      <c r="J3" s="24">
        <v>2030</v>
      </c>
      <c r="K3" s="24">
        <v>2031</v>
      </c>
      <c r="L3" s="24">
        <v>2032</v>
      </c>
      <c r="M3" s="24">
        <v>2033</v>
      </c>
      <c r="N3" s="24">
        <v>2034</v>
      </c>
      <c r="O3" s="24">
        <v>2035</v>
      </c>
      <c r="R3" s="45" t="s">
        <v>73</v>
      </c>
      <c r="S3" s="2"/>
    </row>
    <row r="4" spans="1:19" x14ac:dyDescent="0.2">
      <c r="B4" s="3"/>
      <c r="C4" s="7" t="s">
        <v>58</v>
      </c>
      <c r="D4" s="2">
        <v>733000</v>
      </c>
      <c r="E4" s="2">
        <v>955000</v>
      </c>
      <c r="F4" s="2">
        <v>982000</v>
      </c>
      <c r="G4" s="2">
        <v>1010000</v>
      </c>
      <c r="H4" s="2">
        <v>1040000</v>
      </c>
      <c r="I4" s="2">
        <v>1070000</v>
      </c>
      <c r="J4" s="2">
        <v>1101000</v>
      </c>
      <c r="K4" s="2">
        <v>1129000</v>
      </c>
      <c r="L4" s="2">
        <v>1157000</v>
      </c>
      <c r="M4" s="2">
        <v>1187000</v>
      </c>
      <c r="N4" s="2">
        <v>1218000</v>
      </c>
      <c r="O4" s="2">
        <v>1250000</v>
      </c>
      <c r="R4" s="44" t="s">
        <v>40</v>
      </c>
      <c r="S4" s="2">
        <v>2763000000</v>
      </c>
    </row>
    <row r="5" spans="1:19" x14ac:dyDescent="0.2">
      <c r="B5" s="26" t="s">
        <v>66</v>
      </c>
      <c r="C5" s="7" t="s">
        <v>8</v>
      </c>
      <c r="D5" s="2">
        <f>D4*D6</f>
        <v>8062.9999999999991</v>
      </c>
      <c r="E5" s="2">
        <f t="shared" ref="E5:O5" si="0">E4*E6</f>
        <v>25785</v>
      </c>
      <c r="F5" s="2">
        <f t="shared" si="0"/>
        <v>54010</v>
      </c>
      <c r="G5" s="2">
        <f t="shared" si="0"/>
        <v>133320</v>
      </c>
      <c r="H5" s="2">
        <f t="shared" si="0"/>
        <v>182000</v>
      </c>
      <c r="I5" s="2">
        <f t="shared" si="0"/>
        <v>251450</v>
      </c>
      <c r="J5" s="2">
        <f t="shared" si="0"/>
        <v>341310</v>
      </c>
      <c r="K5" s="2">
        <f t="shared" si="0"/>
        <v>398537</v>
      </c>
      <c r="L5" s="2">
        <f t="shared" si="0"/>
        <v>491725</v>
      </c>
      <c r="M5" s="2">
        <f t="shared" si="0"/>
        <v>569760</v>
      </c>
      <c r="N5" s="2">
        <f t="shared" si="0"/>
        <v>682080.00000000012</v>
      </c>
      <c r="O5" s="2">
        <f t="shared" si="0"/>
        <v>800000</v>
      </c>
      <c r="R5" s="44" t="s">
        <v>63</v>
      </c>
      <c r="S5" s="2">
        <v>1789226</v>
      </c>
    </row>
    <row r="6" spans="1:19" x14ac:dyDescent="0.2">
      <c r="C6" s="7" t="s">
        <v>9</v>
      </c>
      <c r="D6" s="11">
        <v>1.0999999999999999E-2</v>
      </c>
      <c r="E6" s="11">
        <v>2.7E-2</v>
      </c>
      <c r="F6" s="11">
        <v>5.5E-2</v>
      </c>
      <c r="G6" s="11">
        <v>0.13200000000000001</v>
      </c>
      <c r="H6" s="11">
        <v>0.17499999999999999</v>
      </c>
      <c r="I6" s="11">
        <v>0.23499999999999999</v>
      </c>
      <c r="J6" s="11">
        <v>0.31</v>
      </c>
      <c r="K6" s="11">
        <v>0.35299999999999998</v>
      </c>
      <c r="L6" s="11">
        <v>0.42499999999999999</v>
      </c>
      <c r="M6" s="11">
        <v>0.48</v>
      </c>
      <c r="N6" s="11">
        <v>0.56000000000000005</v>
      </c>
      <c r="O6" s="11">
        <v>0.64</v>
      </c>
      <c r="R6" s="44" t="s">
        <v>41</v>
      </c>
      <c r="S6" s="2">
        <f>S4/S5</f>
        <v>1544.2431531846732</v>
      </c>
    </row>
    <row r="7" spans="1:19" x14ac:dyDescent="0.2">
      <c r="C7" s="7"/>
      <c r="O7" s="4"/>
      <c r="R7" s="44"/>
    </row>
    <row r="8" spans="1:19" x14ac:dyDescent="0.2">
      <c r="B8" s="26" t="s">
        <v>65</v>
      </c>
      <c r="C8" s="7" t="s">
        <v>34</v>
      </c>
      <c r="E8" s="11">
        <v>0.2</v>
      </c>
      <c r="F8" s="11">
        <v>0.22368538294402895</v>
      </c>
      <c r="G8" s="11">
        <v>0.25017575271408438</v>
      </c>
      <c r="H8" s="11">
        <v>0.27980329524580322</v>
      </c>
      <c r="I8" s="11">
        <v>0.31293953623029341</v>
      </c>
      <c r="J8" s="11">
        <v>0.35</v>
      </c>
      <c r="K8" s="11">
        <v>0.33472337492651294</v>
      </c>
      <c r="L8" s="11">
        <v>0.32011353634912842</v>
      </c>
      <c r="M8" s="11">
        <v>0.30614138070411784</v>
      </c>
      <c r="N8" s="11">
        <v>0.29277907472555648</v>
      </c>
      <c r="O8" s="11">
        <v>0.28000000000000003</v>
      </c>
      <c r="R8" s="44" t="s">
        <v>42</v>
      </c>
      <c r="S8" s="2">
        <v>72480000000</v>
      </c>
    </row>
    <row r="9" spans="1:19" x14ac:dyDescent="0.2">
      <c r="C9" s="16" t="s">
        <v>37</v>
      </c>
      <c r="D9" s="17"/>
      <c r="E9" s="18">
        <f>E8*E5</f>
        <v>5157</v>
      </c>
      <c r="F9" s="18">
        <f t="shared" ref="F9:O9" si="1">F8*F5</f>
        <v>12081.247532807003</v>
      </c>
      <c r="G9" s="18">
        <f t="shared" si="1"/>
        <v>33353.431351841726</v>
      </c>
      <c r="H9" s="18">
        <f t="shared" si="1"/>
        <v>50924.199734736183</v>
      </c>
      <c r="I9" s="18">
        <f t="shared" si="1"/>
        <v>78688.646385107277</v>
      </c>
      <c r="J9" s="18">
        <f t="shared" si="1"/>
        <v>119458.49999999999</v>
      </c>
      <c r="K9" s="18">
        <f t="shared" si="1"/>
        <v>133399.6496730877</v>
      </c>
      <c r="L9" s="18">
        <f t="shared" si="1"/>
        <v>157407.82866127518</v>
      </c>
      <c r="M9" s="18">
        <f t="shared" si="1"/>
        <v>174427.11306997819</v>
      </c>
      <c r="N9" s="18">
        <f t="shared" si="1"/>
        <v>199698.7512888076</v>
      </c>
      <c r="O9" s="18">
        <f t="shared" si="1"/>
        <v>224000.00000000003</v>
      </c>
      <c r="R9" s="44" t="s">
        <v>43</v>
      </c>
      <c r="S9" s="2">
        <v>61870000000</v>
      </c>
    </row>
    <row r="10" spans="1:19" x14ac:dyDescent="0.2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R10" s="44" t="s">
        <v>44</v>
      </c>
      <c r="S10" s="2">
        <f>S8/S5</f>
        <v>40509.136352814014</v>
      </c>
    </row>
    <row r="11" spans="1:19" x14ac:dyDescent="0.2">
      <c r="C11" s="7" t="s">
        <v>50</v>
      </c>
      <c r="D11" s="2">
        <f>S10</f>
        <v>40509.136352814014</v>
      </c>
      <c r="E11" s="2">
        <f>D11 * (1+$B$2)</f>
        <v>41319.319079870293</v>
      </c>
      <c r="F11" s="2">
        <f t="shared" ref="F11:O11" si="2">E11 * (1+$B$2)</f>
        <v>42145.705461467696</v>
      </c>
      <c r="G11" s="2">
        <f t="shared" si="2"/>
        <v>42988.619570697054</v>
      </c>
      <c r="H11" s="2">
        <f t="shared" si="2"/>
        <v>43848.391962110996</v>
      </c>
      <c r="I11" s="2">
        <f t="shared" si="2"/>
        <v>44725.359801353217</v>
      </c>
      <c r="J11" s="2">
        <f t="shared" si="2"/>
        <v>45619.866997380283</v>
      </c>
      <c r="K11" s="2">
        <f t="shared" si="2"/>
        <v>46532.264337327892</v>
      </c>
      <c r="L11" s="2">
        <f t="shared" si="2"/>
        <v>47462.909624074447</v>
      </c>
      <c r="M11" s="2">
        <f t="shared" si="2"/>
        <v>48412.167816555935</v>
      </c>
      <c r="N11" s="2">
        <f t="shared" si="2"/>
        <v>49380.411172887056</v>
      </c>
      <c r="O11" s="2">
        <f t="shared" si="2"/>
        <v>50368.019396344796</v>
      </c>
      <c r="P11" s="2"/>
      <c r="R11" s="44" t="s">
        <v>45</v>
      </c>
      <c r="S11" s="2">
        <f>S9/S5</f>
        <v>34579.197932513838</v>
      </c>
    </row>
    <row r="12" spans="1:19" x14ac:dyDescent="0.2">
      <c r="C12" s="7" t="s">
        <v>61</v>
      </c>
      <c r="D12" s="2">
        <f>D11 * (1+$B$3)</f>
        <v>46585.506805736113</v>
      </c>
      <c r="E12" s="2">
        <f t="shared" ref="E12:O12" si="3">E11 * (1+$B$3)</f>
        <v>47517.216941850835</v>
      </c>
      <c r="F12" s="2">
        <f t="shared" si="3"/>
        <v>48467.561280687849</v>
      </c>
      <c r="G12" s="2">
        <f t="shared" si="3"/>
        <v>49436.912506301611</v>
      </c>
      <c r="H12" s="2">
        <f t="shared" si="3"/>
        <v>50425.65075642764</v>
      </c>
      <c r="I12" s="2">
        <f t="shared" si="3"/>
        <v>51434.163771556196</v>
      </c>
      <c r="J12" s="2">
        <f t="shared" si="3"/>
        <v>52462.847046987321</v>
      </c>
      <c r="K12" s="2">
        <f t="shared" si="3"/>
        <v>53512.103987927068</v>
      </c>
      <c r="L12" s="2">
        <f t="shared" si="3"/>
        <v>54582.346067685612</v>
      </c>
      <c r="M12" s="2">
        <f t="shared" si="3"/>
        <v>55673.992989039318</v>
      </c>
      <c r="N12" s="2">
        <f t="shared" si="3"/>
        <v>56787.472848820107</v>
      </c>
      <c r="O12" s="2">
        <f t="shared" si="3"/>
        <v>57923.222305796509</v>
      </c>
      <c r="P12" s="2"/>
      <c r="R12" s="44"/>
      <c r="S12" s="2"/>
    </row>
    <row r="13" spans="1:19" x14ac:dyDescent="0.2">
      <c r="C13" s="16" t="s">
        <v>49</v>
      </c>
      <c r="D13" s="18"/>
      <c r="E13" s="18">
        <f>E12*E9</f>
        <v>245046287.76912475</v>
      </c>
      <c r="F13" s="18">
        <f t="shared" ref="F13:O13" si="4">F12*F9</f>
        <v>585548605.14348233</v>
      </c>
      <c r="G13" s="18">
        <f t="shared" si="4"/>
        <v>1648890667.5259364</v>
      </c>
      <c r="H13" s="18">
        <f t="shared" si="4"/>
        <v>2567885910.874372</v>
      </c>
      <c r="I13" s="18">
        <f t="shared" si="4"/>
        <v>4047284725.1336813</v>
      </c>
      <c r="J13" s="18">
        <f t="shared" si="4"/>
        <v>6267133013.962534</v>
      </c>
      <c r="K13" s="18">
        <f t="shared" si="4"/>
        <v>7138495925.2593098</v>
      </c>
      <c r="L13" s="18">
        <f t="shared" si="4"/>
        <v>8591688577.7526836</v>
      </c>
      <c r="M13" s="18">
        <f t="shared" si="4"/>
        <v>9711053870.1563339</v>
      </c>
      <c r="N13" s="18">
        <f t="shared" si="4"/>
        <v>11340387416.756441</v>
      </c>
      <c r="O13" s="18">
        <f t="shared" si="4"/>
        <v>12974801796.498421</v>
      </c>
      <c r="P13" s="2"/>
      <c r="R13" s="44" t="s">
        <v>46</v>
      </c>
      <c r="S13" s="2">
        <v>5150000000</v>
      </c>
    </row>
    <row r="14" spans="1:19" ht="17" thickBot="1" x14ac:dyDescent="0.25">
      <c r="C14" s="19" t="s">
        <v>55</v>
      </c>
      <c r="D14" s="20"/>
      <c r="E14" s="20">
        <f>E13</f>
        <v>245046287.76912475</v>
      </c>
      <c r="F14" s="20">
        <f t="shared" ref="F14:O14" si="5">F13</f>
        <v>585548605.14348233</v>
      </c>
      <c r="G14" s="20">
        <f t="shared" si="5"/>
        <v>1648890667.5259364</v>
      </c>
      <c r="H14" s="20">
        <f t="shared" si="5"/>
        <v>2567885910.874372</v>
      </c>
      <c r="I14" s="20">
        <f t="shared" si="5"/>
        <v>4047284725.1336813</v>
      </c>
      <c r="J14" s="20">
        <f t="shared" si="5"/>
        <v>6267133013.962534</v>
      </c>
      <c r="K14" s="20">
        <f t="shared" si="5"/>
        <v>7138495925.2593098</v>
      </c>
      <c r="L14" s="20">
        <f t="shared" si="5"/>
        <v>8591688577.7526836</v>
      </c>
      <c r="M14" s="20">
        <f t="shared" si="5"/>
        <v>9711053870.1563339</v>
      </c>
      <c r="N14" s="20">
        <f t="shared" si="5"/>
        <v>11340387416.756441</v>
      </c>
      <c r="O14" s="20">
        <f t="shared" si="5"/>
        <v>12974801796.498421</v>
      </c>
      <c r="P14" s="2"/>
      <c r="R14" s="44" t="s">
        <v>64</v>
      </c>
      <c r="S14" s="10">
        <f>S13/S8</f>
        <v>7.1054083885209715E-2</v>
      </c>
    </row>
    <row r="15" spans="1:19" x14ac:dyDescent="0.2">
      <c r="C15" s="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44"/>
      <c r="S15" s="2"/>
    </row>
    <row r="16" spans="1:19" x14ac:dyDescent="0.2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s="44"/>
    </row>
    <row r="17" spans="2:16" x14ac:dyDescent="0.2">
      <c r="C17" s="7" t="s">
        <v>52</v>
      </c>
      <c r="D17" s="2">
        <f>S11</f>
        <v>34579.197932513838</v>
      </c>
      <c r="E17" s="2">
        <f>D17 * (1+$B$2)</f>
        <v>35270.781891164115</v>
      </c>
      <c r="F17" s="2">
        <f t="shared" ref="F17:O17" si="6">E17 * (1+$B$2)</f>
        <v>35976.197528987395</v>
      </c>
      <c r="G17" s="2">
        <f t="shared" si="6"/>
        <v>36695.721479567146</v>
      </c>
      <c r="H17" s="2">
        <f t="shared" si="6"/>
        <v>37429.635909158489</v>
      </c>
      <c r="I17" s="2">
        <f t="shared" si="6"/>
        <v>38178.228627341661</v>
      </c>
      <c r="J17" s="2">
        <f t="shared" si="6"/>
        <v>38941.793199888496</v>
      </c>
      <c r="K17" s="2">
        <f t="shared" si="6"/>
        <v>39720.62906388627</v>
      </c>
      <c r="L17" s="2">
        <f t="shared" si="6"/>
        <v>40515.041645163998</v>
      </c>
      <c r="M17" s="2">
        <f t="shared" si="6"/>
        <v>41325.342478067279</v>
      </c>
      <c r="N17" s="2">
        <f t="shared" si="6"/>
        <v>42151.849327628624</v>
      </c>
      <c r="O17" s="2">
        <f t="shared" si="6"/>
        <v>42994.886314181196</v>
      </c>
      <c r="P17" s="2"/>
    </row>
    <row r="18" spans="2:16" x14ac:dyDescent="0.2">
      <c r="C18" s="7" t="s">
        <v>60</v>
      </c>
      <c r="D18" s="2">
        <f>D17 * (1+$B$3)</f>
        <v>39766.077622390912</v>
      </c>
      <c r="E18" s="2">
        <f t="shared" ref="E18:O18" si="7">E17 * (1+$B$3)</f>
        <v>40561.399174838727</v>
      </c>
      <c r="F18" s="2">
        <f t="shared" si="7"/>
        <v>41372.627158335505</v>
      </c>
      <c r="G18" s="2">
        <f t="shared" si="7"/>
        <v>42200.079701502218</v>
      </c>
      <c r="H18" s="2">
        <f t="shared" si="7"/>
        <v>43044.081295532262</v>
      </c>
      <c r="I18" s="2">
        <f t="shared" si="7"/>
        <v>43904.962921442908</v>
      </c>
      <c r="J18" s="2">
        <f t="shared" si="7"/>
        <v>44783.062179871769</v>
      </c>
      <c r="K18" s="2">
        <f t="shared" si="7"/>
        <v>45678.723423469208</v>
      </c>
      <c r="L18" s="2">
        <f t="shared" si="7"/>
        <v>46592.297891938593</v>
      </c>
      <c r="M18" s="2">
        <f t="shared" si="7"/>
        <v>47524.143849777371</v>
      </c>
      <c r="N18" s="2">
        <f t="shared" si="7"/>
        <v>48474.626726772913</v>
      </c>
      <c r="O18" s="2">
        <f t="shared" si="7"/>
        <v>49444.119261308369</v>
      </c>
      <c r="P18" s="2"/>
    </row>
    <row r="19" spans="2:16" x14ac:dyDescent="0.2">
      <c r="C19" s="7" t="s">
        <v>53</v>
      </c>
      <c r="D19" s="2"/>
      <c r="E19" s="2">
        <f>E18*E9</f>
        <v>209175135.54464331</v>
      </c>
      <c r="F19" s="2">
        <f t="shared" ref="F19:O19" si="8">F18*F9</f>
        <v>499832949.78238481</v>
      </c>
      <c r="G19" s="2">
        <f t="shared" si="8"/>
        <v>1407517461.3663037</v>
      </c>
      <c r="H19" s="2">
        <f t="shared" si="8"/>
        <v>2191985393.2919068</v>
      </c>
      <c r="I19" s="2">
        <f t="shared" si="8"/>
        <v>3454822101.8766675</v>
      </c>
      <c r="J19" s="2">
        <f t="shared" si="8"/>
        <v>5349717433.4142113</v>
      </c>
      <c r="K19" s="2">
        <f t="shared" si="8"/>
        <v>6093525702.2046576</v>
      </c>
      <c r="L19" s="2">
        <f t="shared" si="8"/>
        <v>7333992443.5093632</v>
      </c>
      <c r="M19" s="2">
        <f t="shared" si="8"/>
        <v>8289499212.8390265</v>
      </c>
      <c r="N19" s="2">
        <f t="shared" si="8"/>
        <v>9680322426.5276089</v>
      </c>
      <c r="O19" s="2">
        <f t="shared" si="8"/>
        <v>11075482714.533075</v>
      </c>
      <c r="P19" s="2"/>
    </row>
    <row r="20" spans="2:16" x14ac:dyDescent="0.2">
      <c r="C20" s="16" t="s">
        <v>54</v>
      </c>
      <c r="D20" s="18"/>
      <c r="E20" s="18">
        <f t="shared" ref="E20:O20" si="9">E13*$S$14</f>
        <v>17411539.486906629</v>
      </c>
      <c r="F20" s="18">
        <f t="shared" si="9"/>
        <v>41605619.70873253</v>
      </c>
      <c r="G20" s="18">
        <f t="shared" si="9"/>
        <v>117160415.80792733</v>
      </c>
      <c r="H20" s="18">
        <f t="shared" si="9"/>
        <v>182458780.91891578</v>
      </c>
      <c r="I20" s="18">
        <f t="shared" si="9"/>
        <v>287576108.36697656</v>
      </c>
      <c r="J20" s="18">
        <f t="shared" si="9"/>
        <v>445305394.89386106</v>
      </c>
      <c r="K20" s="18">
        <f t="shared" si="9"/>
        <v>507219288.28760272</v>
      </c>
      <c r="L20" s="18">
        <f t="shared" si="9"/>
        <v>610474560.91923738</v>
      </c>
      <c r="M20" s="18">
        <f t="shared" si="9"/>
        <v>690010036.30387855</v>
      </c>
      <c r="N20" s="18">
        <f t="shared" si="9"/>
        <v>805780838.80098891</v>
      </c>
      <c r="O20" s="18">
        <f t="shared" si="9"/>
        <v>921912655.24236846</v>
      </c>
      <c r="P20" s="2"/>
    </row>
    <row r="21" spans="2:16" ht="17" thickBot="1" x14ac:dyDescent="0.25">
      <c r="C21" s="19" t="s">
        <v>56</v>
      </c>
      <c r="D21" s="20"/>
      <c r="E21" s="20">
        <f>SUM(E19:E20)</f>
        <v>226586675.03154993</v>
      </c>
      <c r="F21" s="20">
        <f t="shared" ref="F21:O21" si="10">SUM(F19:F20)</f>
        <v>541438569.49111736</v>
      </c>
      <c r="G21" s="20">
        <f t="shared" si="10"/>
        <v>1524677877.1742311</v>
      </c>
      <c r="H21" s="20">
        <f t="shared" si="10"/>
        <v>2374444174.2108226</v>
      </c>
      <c r="I21" s="20">
        <f t="shared" si="10"/>
        <v>3742398210.2436442</v>
      </c>
      <c r="J21" s="20">
        <f t="shared" si="10"/>
        <v>5795022828.3080721</v>
      </c>
      <c r="K21" s="20">
        <f t="shared" si="10"/>
        <v>6600744990.49226</v>
      </c>
      <c r="L21" s="20">
        <f t="shared" si="10"/>
        <v>7944467004.4286003</v>
      </c>
      <c r="M21" s="20">
        <f t="shared" si="10"/>
        <v>8979509249.1429043</v>
      </c>
      <c r="N21" s="20">
        <f t="shared" si="10"/>
        <v>10486103265.328598</v>
      </c>
      <c r="O21" s="20">
        <f t="shared" si="10"/>
        <v>11997395369.775444</v>
      </c>
      <c r="P21" s="2"/>
    </row>
    <row r="22" spans="2:16" x14ac:dyDescent="0.2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2:16" ht="17" thickBot="1" x14ac:dyDescent="0.25">
      <c r="C23" s="21" t="s">
        <v>57</v>
      </c>
      <c r="D23" s="22"/>
      <c r="E23" s="22">
        <f t="shared" ref="E23:O23" si="11">E14-E21</f>
        <v>18459612.737574816</v>
      </c>
      <c r="F23" s="22">
        <f t="shared" si="11"/>
        <v>44110035.652364969</v>
      </c>
      <c r="G23" s="22">
        <f t="shared" si="11"/>
        <v>124212790.35170531</v>
      </c>
      <c r="H23" s="22">
        <f t="shared" si="11"/>
        <v>193441736.66354942</v>
      </c>
      <c r="I23" s="22">
        <f t="shared" si="11"/>
        <v>304886514.89003706</v>
      </c>
      <c r="J23" s="22">
        <f t="shared" si="11"/>
        <v>472110185.65446186</v>
      </c>
      <c r="K23" s="22">
        <f t="shared" si="11"/>
        <v>537750934.76704979</v>
      </c>
      <c r="L23" s="22">
        <f t="shared" si="11"/>
        <v>647221573.32408333</v>
      </c>
      <c r="M23" s="22">
        <f t="shared" si="11"/>
        <v>731544621.01342964</v>
      </c>
      <c r="N23" s="22">
        <f t="shared" si="11"/>
        <v>854284151.42784309</v>
      </c>
      <c r="O23" s="22">
        <f t="shared" si="11"/>
        <v>977406426.72297668</v>
      </c>
    </row>
    <row r="24" spans="2:16" x14ac:dyDescent="0.2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7" t="s">
        <v>72</v>
      </c>
      <c r="P24" s="28">
        <f>SUM(E23:O23)</f>
        <v>4905428583.2050762</v>
      </c>
    </row>
    <row r="25" spans="2:16" x14ac:dyDescent="0.2">
      <c r="B25" s="3"/>
    </row>
    <row r="26" spans="2:16" x14ac:dyDescent="0.2">
      <c r="G26" s="2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ACFA-FAAD-C84E-B3EE-CA8A3D487855}">
  <dimension ref="A1:P35"/>
  <sheetViews>
    <sheetView zoomScale="115" workbookViewId="0">
      <selection activeCell="H13" sqref="H13"/>
    </sheetView>
  </sheetViews>
  <sheetFormatPr baseColWidth="10" defaultRowHeight="16" x14ac:dyDescent="0.2"/>
  <cols>
    <col min="1" max="1" width="14" bestFit="1" customWidth="1"/>
    <col min="2" max="2" width="14" customWidth="1"/>
    <col min="5" max="5" width="12.1640625" bestFit="1" customWidth="1"/>
    <col min="6" max="6" width="14.5" bestFit="1" customWidth="1"/>
    <col min="7" max="7" width="11.6640625" customWidth="1"/>
    <col min="8" max="8" width="11.33203125" customWidth="1"/>
    <col min="9" max="9" width="11.6640625" customWidth="1"/>
    <col min="10" max="10" width="11.33203125" customWidth="1"/>
    <col min="11" max="13" width="18.1640625" customWidth="1"/>
  </cols>
  <sheetData>
    <row r="1" spans="1:16" ht="22" x14ac:dyDescent="0.3">
      <c r="A1" s="40" t="s">
        <v>26</v>
      </c>
    </row>
    <row r="2" spans="1:16" x14ac:dyDescent="0.2">
      <c r="A2" s="5" t="s">
        <v>13</v>
      </c>
      <c r="I2" t="s">
        <v>14</v>
      </c>
      <c r="J2" s="4">
        <v>0.02</v>
      </c>
      <c r="K2" s="5" t="s">
        <v>11</v>
      </c>
      <c r="L2" s="5"/>
      <c r="M2" s="5"/>
      <c r="N2" t="s">
        <v>15</v>
      </c>
      <c r="O2" s="4">
        <v>0.5</v>
      </c>
      <c r="P2" s="26" t="s">
        <v>74</v>
      </c>
    </row>
    <row r="3" spans="1:16" x14ac:dyDescent="0.2">
      <c r="A3" s="5" t="s">
        <v>12</v>
      </c>
      <c r="N3" t="s">
        <v>16</v>
      </c>
      <c r="O3">
        <f>COUNT(A19:A25) - 1</f>
        <v>6</v>
      </c>
    </row>
    <row r="4" spans="1:16" x14ac:dyDescent="0.2">
      <c r="N4" t="s">
        <v>5</v>
      </c>
      <c r="O4" s="1">
        <f>((O2/F19) ^ (1/O3)) - 1</f>
        <v>0.31508680128474986</v>
      </c>
    </row>
    <row r="5" spans="1:16" x14ac:dyDescent="0.2">
      <c r="A5" s="7" t="s">
        <v>1</v>
      </c>
      <c r="B5" s="7" t="s">
        <v>10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20</v>
      </c>
      <c r="H5" s="32" t="s">
        <v>21</v>
      </c>
      <c r="I5" s="7" t="s">
        <v>34</v>
      </c>
      <c r="J5" s="7" t="s">
        <v>37</v>
      </c>
    </row>
    <row r="6" spans="1:16" x14ac:dyDescent="0.2">
      <c r="A6">
        <v>2011</v>
      </c>
      <c r="C6">
        <v>49</v>
      </c>
      <c r="D6">
        <v>0</v>
      </c>
      <c r="E6">
        <v>49</v>
      </c>
      <c r="F6" s="3">
        <v>0</v>
      </c>
      <c r="H6" s="33"/>
    </row>
    <row r="7" spans="1:16" x14ac:dyDescent="0.2">
      <c r="A7">
        <v>2012</v>
      </c>
      <c r="B7" s="2">
        <v>1265000</v>
      </c>
      <c r="C7">
        <v>173</v>
      </c>
      <c r="D7">
        <v>80</v>
      </c>
      <c r="E7">
        <v>253</v>
      </c>
      <c r="F7" s="3">
        <v>2.0000000000000001E-4</v>
      </c>
      <c r="G7" s="1">
        <f>C7/E7</f>
        <v>0.6837944664031621</v>
      </c>
      <c r="H7" s="31">
        <f>D7/E7</f>
        <v>0.31620553359683795</v>
      </c>
      <c r="N7" t="s">
        <v>17</v>
      </c>
      <c r="O7" s="4">
        <v>0.9</v>
      </c>
      <c r="P7" s="26" t="s">
        <v>75</v>
      </c>
    </row>
    <row r="8" spans="1:16" x14ac:dyDescent="0.2">
      <c r="A8">
        <v>2013</v>
      </c>
      <c r="B8" s="2">
        <v>1465000</v>
      </c>
      <c r="C8">
        <v>191</v>
      </c>
      <c r="D8">
        <v>102</v>
      </c>
      <c r="E8">
        <v>293</v>
      </c>
      <c r="F8" s="3">
        <v>2.0000000000000001E-4</v>
      </c>
      <c r="G8" s="1">
        <f t="shared" ref="G8:G19" si="0">C8/E8</f>
        <v>0.65187713310580209</v>
      </c>
      <c r="H8" s="31">
        <f t="shared" ref="H8:H19" si="1">D8/E8</f>
        <v>0.34812286689419797</v>
      </c>
      <c r="N8" t="s">
        <v>16</v>
      </c>
      <c r="O8">
        <f>COUNT(A25:A30) - 1</f>
        <v>5</v>
      </c>
      <c r="P8" s="37" t="s">
        <v>76</v>
      </c>
    </row>
    <row r="9" spans="1:16" x14ac:dyDescent="0.2">
      <c r="A9">
        <v>2014</v>
      </c>
      <c r="B9" s="2">
        <v>1101666.6666666667</v>
      </c>
      <c r="C9">
        <v>371</v>
      </c>
      <c r="D9">
        <v>951</v>
      </c>
      <c r="E9" s="2">
        <v>1322</v>
      </c>
      <c r="F9" s="3">
        <v>1.1999999999999999E-3</v>
      </c>
      <c r="G9" s="1">
        <f t="shared" si="0"/>
        <v>0.2806354009077156</v>
      </c>
      <c r="H9" s="31">
        <f t="shared" si="1"/>
        <v>0.71936459909228445</v>
      </c>
      <c r="N9" t="s">
        <v>5</v>
      </c>
      <c r="O9" s="1">
        <f>((O7/F25) ^ (1/O8)) - 1</f>
        <v>0.12474611314209461</v>
      </c>
    </row>
    <row r="10" spans="1:16" x14ac:dyDescent="0.2">
      <c r="A10">
        <v>2015</v>
      </c>
      <c r="B10" s="2">
        <v>1180666.6666666667</v>
      </c>
      <c r="C10">
        <v>759</v>
      </c>
      <c r="D10" s="2">
        <v>1012</v>
      </c>
      <c r="E10" s="2">
        <v>1771</v>
      </c>
      <c r="F10" s="3">
        <v>1.5E-3</v>
      </c>
      <c r="G10" s="1">
        <f t="shared" si="0"/>
        <v>0.42857142857142855</v>
      </c>
      <c r="H10" s="31">
        <f t="shared" si="1"/>
        <v>0.5714285714285714</v>
      </c>
      <c r="J10" s="2"/>
    </row>
    <row r="11" spans="1:16" x14ac:dyDescent="0.2">
      <c r="A11">
        <v>2016</v>
      </c>
      <c r="B11" s="2">
        <v>1140833.3333333335</v>
      </c>
      <c r="C11">
        <v>668</v>
      </c>
      <c r="D11">
        <v>701</v>
      </c>
      <c r="E11" s="2">
        <v>1369</v>
      </c>
      <c r="F11" s="3">
        <v>1.1999999999999999E-3</v>
      </c>
      <c r="G11" s="1">
        <f t="shared" si="0"/>
        <v>0.48794740686632576</v>
      </c>
      <c r="H11" s="31">
        <f t="shared" si="1"/>
        <v>0.51205259313367424</v>
      </c>
      <c r="J11" s="2"/>
    </row>
    <row r="12" spans="1:16" x14ac:dyDescent="0.2">
      <c r="A12">
        <v>2017</v>
      </c>
      <c r="B12" s="2">
        <v>1202105.2631578948</v>
      </c>
      <c r="C12" s="2">
        <v>1208</v>
      </c>
      <c r="D12" s="2">
        <v>1076</v>
      </c>
      <c r="E12" s="2">
        <v>2284</v>
      </c>
      <c r="F12" s="3">
        <v>1.9E-3</v>
      </c>
      <c r="G12" s="1">
        <f t="shared" si="0"/>
        <v>0.52889667250437833</v>
      </c>
      <c r="H12" s="31">
        <f t="shared" si="1"/>
        <v>0.47110332749562173</v>
      </c>
      <c r="J12" s="2"/>
      <c r="N12" t="s">
        <v>18</v>
      </c>
      <c r="O12" s="4">
        <v>0.03</v>
      </c>
      <c r="P12" s="26" t="s">
        <v>77</v>
      </c>
    </row>
    <row r="13" spans="1:16" x14ac:dyDescent="0.2">
      <c r="A13">
        <v>2018</v>
      </c>
      <c r="B13" s="2">
        <v>1055238.0952380954</v>
      </c>
      <c r="C13" s="2">
        <v>1053</v>
      </c>
      <c r="D13" s="2">
        <v>1163</v>
      </c>
      <c r="E13" s="2">
        <v>2216</v>
      </c>
      <c r="F13" s="3">
        <v>2.0999999999999999E-3</v>
      </c>
      <c r="G13" s="1">
        <f t="shared" si="0"/>
        <v>0.47518050541516244</v>
      </c>
      <c r="H13" s="31">
        <f t="shared" si="1"/>
        <v>0.52481949458483756</v>
      </c>
      <c r="J13" s="2"/>
      <c r="N13" t="s">
        <v>16</v>
      </c>
      <c r="O13">
        <f>COUNT(A19:A30) - 1</f>
        <v>11</v>
      </c>
    </row>
    <row r="14" spans="1:16" x14ac:dyDescent="0.2">
      <c r="A14">
        <v>2019</v>
      </c>
      <c r="B14" s="2">
        <v>1033538.4615384616</v>
      </c>
      <c r="C14" s="2">
        <v>5292</v>
      </c>
      <c r="D14" s="2">
        <v>1426</v>
      </c>
      <c r="E14" s="2">
        <v>6718</v>
      </c>
      <c r="F14" s="3">
        <v>6.4999999999999997E-3</v>
      </c>
      <c r="G14" s="1">
        <f t="shared" si="0"/>
        <v>0.78773444477523069</v>
      </c>
      <c r="H14" s="31">
        <f t="shared" si="1"/>
        <v>0.21226555522476928</v>
      </c>
      <c r="J14" s="2"/>
      <c r="N14" t="s">
        <v>19</v>
      </c>
      <c r="O14" s="10">
        <f>(20% - O12)/O13</f>
        <v>1.5454545454545455E-2</v>
      </c>
    </row>
    <row r="15" spans="1:16" x14ac:dyDescent="0.2">
      <c r="A15">
        <v>2020</v>
      </c>
      <c r="B15" s="2">
        <v>884615.38461538462</v>
      </c>
      <c r="C15" s="2">
        <v>5215</v>
      </c>
      <c r="D15" s="2">
        <v>1685</v>
      </c>
      <c r="E15" s="2">
        <v>6900</v>
      </c>
      <c r="F15" s="3">
        <v>7.7999999999999996E-3</v>
      </c>
      <c r="G15" s="1">
        <f t="shared" si="0"/>
        <v>0.75579710144927537</v>
      </c>
      <c r="H15" s="31">
        <f t="shared" si="1"/>
        <v>0.24420289855072463</v>
      </c>
    </row>
    <row r="16" spans="1:16" x14ac:dyDescent="0.2">
      <c r="A16">
        <v>2021</v>
      </c>
      <c r="B16" s="2">
        <v>1059743.5897435897</v>
      </c>
      <c r="C16" s="2">
        <v>17293</v>
      </c>
      <c r="D16" s="2">
        <v>3372</v>
      </c>
      <c r="E16" s="2">
        <v>20665</v>
      </c>
      <c r="F16" s="3">
        <v>1.95E-2</v>
      </c>
      <c r="G16" s="1">
        <f t="shared" si="0"/>
        <v>0.83682555044761675</v>
      </c>
      <c r="H16" s="31">
        <f t="shared" si="1"/>
        <v>0.16317444955238325</v>
      </c>
    </row>
    <row r="17" spans="1:16" x14ac:dyDescent="0.2">
      <c r="A17">
        <v>2022</v>
      </c>
      <c r="B17" s="2">
        <v>1032887.1391076115</v>
      </c>
      <c r="C17" s="2">
        <v>33416</v>
      </c>
      <c r="D17" s="2">
        <v>5937</v>
      </c>
      <c r="E17" s="2">
        <v>39353</v>
      </c>
      <c r="F17" s="3">
        <v>3.8100000000000002E-2</v>
      </c>
      <c r="G17" s="1">
        <f t="shared" si="0"/>
        <v>0.84913475465657007</v>
      </c>
      <c r="H17" s="31">
        <f t="shared" si="1"/>
        <v>0.15086524534342999</v>
      </c>
    </row>
    <row r="18" spans="1:16" x14ac:dyDescent="0.2">
      <c r="A18">
        <v>2023</v>
      </c>
      <c r="B18" s="2">
        <v>1164923.0769230768</v>
      </c>
      <c r="C18" s="2">
        <v>87217</v>
      </c>
      <c r="D18" s="2">
        <v>11219</v>
      </c>
      <c r="E18" s="2">
        <v>98436</v>
      </c>
      <c r="F18" s="3">
        <v>8.4500000000000006E-2</v>
      </c>
      <c r="G18" s="1">
        <f t="shared" si="0"/>
        <v>0.88602746962493395</v>
      </c>
      <c r="H18" s="31">
        <f t="shared" si="1"/>
        <v>0.11397253037506604</v>
      </c>
    </row>
    <row r="19" spans="1:16" x14ac:dyDescent="0.2">
      <c r="A19">
        <v>2024</v>
      </c>
      <c r="B19" s="2">
        <v>1182225</v>
      </c>
      <c r="C19" s="2">
        <v>91293</v>
      </c>
      <c r="D19" s="2">
        <v>22980</v>
      </c>
      <c r="E19" s="2">
        <v>114273</v>
      </c>
      <c r="F19" s="3">
        <v>9.6659265368267466E-2</v>
      </c>
      <c r="G19" s="1">
        <f t="shared" si="0"/>
        <v>0.79890262791735578</v>
      </c>
      <c r="H19" s="31">
        <f t="shared" si="1"/>
        <v>0.20109737208264419</v>
      </c>
      <c r="L19" s="2"/>
      <c r="M19" s="2"/>
    </row>
    <row r="20" spans="1:16" x14ac:dyDescent="0.2">
      <c r="A20">
        <v>2025</v>
      </c>
      <c r="B20" s="2">
        <f>B19 * (1 + 2%)</f>
        <v>1205869.5</v>
      </c>
      <c r="C20" s="2">
        <f>E20*G20</f>
        <v>124828.32589078182</v>
      </c>
      <c r="D20" s="2">
        <f>E20*H20</f>
        <v>28456.166433294664</v>
      </c>
      <c r="E20" s="2">
        <f>B20*F20</f>
        <v>153284.49232407648</v>
      </c>
      <c r="F20" s="3">
        <f t="shared" ref="F20:F25" si="2">F19 * (1+$O$4)</f>
        <v>0.12711532410768867</v>
      </c>
      <c r="G20" s="1">
        <f>100% - H20</f>
        <v>0.81435717337190128</v>
      </c>
      <c r="H20" s="31">
        <f t="shared" ref="H20:H30" si="3">H19 - $O$14</f>
        <v>0.18564282662809875</v>
      </c>
      <c r="I20" s="4">
        <v>0.1</v>
      </c>
      <c r="J20" s="2">
        <f t="shared" ref="J20:J30" si="4">I20*E20</f>
        <v>15328.449232407649</v>
      </c>
    </row>
    <row r="21" spans="1:16" x14ac:dyDescent="0.2">
      <c r="A21">
        <v>2026</v>
      </c>
      <c r="B21" s="2">
        <f t="shared" ref="B21:B30" si="5">B20 * (1 + 2%)</f>
        <v>1229986.8900000001</v>
      </c>
      <c r="C21" s="2">
        <f t="shared" ref="C21:C30" si="6">E21*G21</f>
        <v>170620.9573326078</v>
      </c>
      <c r="D21" s="2">
        <f t="shared" ref="D21:D30" si="7">E21*H21</f>
        <v>34993.103618359317</v>
      </c>
      <c r="E21" s="2">
        <f t="shared" ref="E21:E30" si="8">B21*F21</f>
        <v>205614.0609509671</v>
      </c>
      <c r="F21" s="3">
        <f t="shared" si="2"/>
        <v>0.16716768497505455</v>
      </c>
      <c r="G21" s="1">
        <f t="shared" ref="G21:G30" si="9">100% - H21</f>
        <v>0.82981171882644666</v>
      </c>
      <c r="H21" s="31">
        <f t="shared" si="3"/>
        <v>0.17018828117355331</v>
      </c>
      <c r="I21" s="4">
        <f>I20 * (1+$O$25)</f>
        <v>0.11247461131420949</v>
      </c>
      <c r="J21" s="2">
        <f t="shared" si="4"/>
        <v>23126.361586196206</v>
      </c>
    </row>
    <row r="22" spans="1:16" x14ac:dyDescent="0.2">
      <c r="A22">
        <v>2027</v>
      </c>
      <c r="B22" s="2">
        <f t="shared" si="5"/>
        <v>1254586.6278000001</v>
      </c>
      <c r="C22" s="2">
        <f t="shared" si="6"/>
        <v>233131.48898724106</v>
      </c>
      <c r="D22" s="2">
        <f t="shared" si="7"/>
        <v>42676.855482237355</v>
      </c>
      <c r="E22" s="2">
        <f t="shared" si="8"/>
        <v>275808.34446947841</v>
      </c>
      <c r="F22" s="3">
        <f t="shared" si="2"/>
        <v>0.21984001611202122</v>
      </c>
      <c r="G22" s="1">
        <f t="shared" si="9"/>
        <v>0.84526626428099216</v>
      </c>
      <c r="H22" s="31">
        <f t="shared" si="3"/>
        <v>0.15473373571900786</v>
      </c>
      <c r="I22" s="4">
        <f t="shared" ref="I22:I24" si="10">I21 * (1+$O$25)</f>
        <v>0.12650538190282501</v>
      </c>
      <c r="J22" s="2">
        <f t="shared" si="4"/>
        <v>34891.239949097282</v>
      </c>
    </row>
    <row r="23" spans="1:16" x14ac:dyDescent="0.2">
      <c r="A23">
        <v>2028</v>
      </c>
      <c r="B23" s="2">
        <f t="shared" si="5"/>
        <v>1279678.3603560003</v>
      </c>
      <c r="C23" s="2">
        <f t="shared" si="6"/>
        <v>318437.56572271121</v>
      </c>
      <c r="D23" s="2">
        <f t="shared" si="7"/>
        <v>51528.586043217809</v>
      </c>
      <c r="E23" s="2">
        <f t="shared" si="8"/>
        <v>369966.15176592901</v>
      </c>
      <c r="F23" s="3">
        <f t="shared" si="2"/>
        <v>0.28910870358314589</v>
      </c>
      <c r="G23" s="1">
        <f t="shared" si="9"/>
        <v>0.86072080973553755</v>
      </c>
      <c r="H23" s="31">
        <f t="shared" si="3"/>
        <v>0.13927919026446242</v>
      </c>
      <c r="I23" s="4">
        <f t="shared" si="10"/>
        <v>0.14228643658675874</v>
      </c>
      <c r="J23" s="2">
        <f t="shared" si="4"/>
        <v>52641.165392490017</v>
      </c>
      <c r="N23" t="s">
        <v>36</v>
      </c>
      <c r="O23" s="4">
        <v>0.18</v>
      </c>
      <c r="P23" s="26" t="s">
        <v>78</v>
      </c>
    </row>
    <row r="24" spans="1:16" x14ac:dyDescent="0.2">
      <c r="A24">
        <v>2029</v>
      </c>
      <c r="B24" s="2">
        <f t="shared" si="5"/>
        <v>1305271.9275631204</v>
      </c>
      <c r="C24" s="2">
        <f t="shared" si="6"/>
        <v>434818.10236213944</v>
      </c>
      <c r="D24" s="2">
        <f t="shared" si="7"/>
        <v>61450.252809534206</v>
      </c>
      <c r="E24" s="2">
        <f t="shared" si="8"/>
        <v>496268.35517167364</v>
      </c>
      <c r="F24" s="3">
        <f t="shared" si="2"/>
        <v>0.38020304021874024</v>
      </c>
      <c r="G24" s="1">
        <f t="shared" si="9"/>
        <v>0.87617535519008305</v>
      </c>
      <c r="H24" s="31">
        <f t="shared" si="3"/>
        <v>0.12382464480991696</v>
      </c>
      <c r="I24" s="4">
        <f t="shared" si="10"/>
        <v>0.16003611650379604</v>
      </c>
      <c r="J24" s="2">
        <f t="shared" si="4"/>
        <v>79420.860305401191</v>
      </c>
      <c r="N24" t="s">
        <v>16</v>
      </c>
      <c r="O24">
        <f>COUNT(A20:A25) - 1</f>
        <v>5</v>
      </c>
    </row>
    <row r="25" spans="1:16" x14ac:dyDescent="0.2">
      <c r="A25">
        <v>2030</v>
      </c>
      <c r="B25" s="2">
        <f t="shared" si="5"/>
        <v>1331377.3661143829</v>
      </c>
      <c r="C25" s="2">
        <f t="shared" si="6"/>
        <v>593547.93433453748</v>
      </c>
      <c r="D25" s="2">
        <f t="shared" si="7"/>
        <v>72140.748722654287</v>
      </c>
      <c r="E25" s="2">
        <f t="shared" si="8"/>
        <v>665688.68305719178</v>
      </c>
      <c r="F25" s="3">
        <f t="shared" si="2"/>
        <v>0.50000000000000022</v>
      </c>
      <c r="G25" s="1">
        <f t="shared" si="9"/>
        <v>0.89162990064462844</v>
      </c>
      <c r="H25" s="31">
        <f t="shared" si="3"/>
        <v>0.10837009935537151</v>
      </c>
      <c r="I25" s="4">
        <v>0.18</v>
      </c>
      <c r="J25" s="2">
        <f t="shared" si="4"/>
        <v>119823.96295029452</v>
      </c>
      <c r="N25" t="s">
        <v>5</v>
      </c>
      <c r="O25" s="1">
        <f>((O23/I20) ^(1/O24)) - 1</f>
        <v>0.12474611314209483</v>
      </c>
    </row>
    <row r="26" spans="1:16" x14ac:dyDescent="0.2">
      <c r="A26">
        <v>2031</v>
      </c>
      <c r="B26" s="2">
        <f t="shared" si="5"/>
        <v>1358004.9134366706</v>
      </c>
      <c r="C26" s="2">
        <f t="shared" si="6"/>
        <v>692745.26616490143</v>
      </c>
      <c r="D26" s="2">
        <f t="shared" si="7"/>
        <v>70960.107842979807</v>
      </c>
      <c r="E26" s="2">
        <f t="shared" si="8"/>
        <v>763705.37400788127</v>
      </c>
      <c r="F26" s="3">
        <f>F25 * (1+$O$9)</f>
        <v>0.56237305657104752</v>
      </c>
      <c r="G26" s="1">
        <f t="shared" si="9"/>
        <v>0.90708444609917394</v>
      </c>
      <c r="H26" s="31">
        <f t="shared" si="3"/>
        <v>9.2915553900826051E-2</v>
      </c>
      <c r="I26" s="4">
        <f>I25 * (1+$O$30)</f>
        <v>0.16597942406671098</v>
      </c>
      <c r="J26" s="2">
        <f t="shared" si="4"/>
        <v>126759.37813448024</v>
      </c>
    </row>
    <row r="27" spans="1:16" x14ac:dyDescent="0.2">
      <c r="A27">
        <v>2032</v>
      </c>
      <c r="B27" s="2">
        <f t="shared" si="5"/>
        <v>1385165.0117054039</v>
      </c>
      <c r="C27" s="2">
        <f t="shared" si="6"/>
        <v>808286.36047085247</v>
      </c>
      <c r="D27" s="2">
        <f t="shared" si="7"/>
        <v>67867.783550263397</v>
      </c>
      <c r="E27" s="2">
        <f t="shared" si="8"/>
        <v>876154.14402111585</v>
      </c>
      <c r="F27" s="3">
        <f>F26 * (1+$O$9)</f>
        <v>0.63252690951412494</v>
      </c>
      <c r="G27" s="1">
        <f t="shared" si="9"/>
        <v>0.92253899155371943</v>
      </c>
      <c r="H27" s="31">
        <f t="shared" si="3"/>
        <v>7.7461008446280594E-2</v>
      </c>
      <c r="I27" s="4">
        <f t="shared" ref="I27:I29" si="11">I26 * (1+$O$30)</f>
        <v>0.1530509400750949</v>
      </c>
      <c r="J27" s="2">
        <f t="shared" si="4"/>
        <v>134096.21539312188</v>
      </c>
    </row>
    <row r="28" spans="1:16" x14ac:dyDescent="0.2">
      <c r="A28">
        <v>2033</v>
      </c>
      <c r="B28" s="2">
        <f t="shared" si="5"/>
        <v>1412868.3119395119</v>
      </c>
      <c r="C28" s="2">
        <f t="shared" si="6"/>
        <v>942833.57180403103</v>
      </c>
      <c r="D28" s="2">
        <f t="shared" si="7"/>
        <v>62326.415557079672</v>
      </c>
      <c r="E28" s="2">
        <f t="shared" si="8"/>
        <v>1005159.9873611107</v>
      </c>
      <c r="F28" s="3">
        <f>F27 * (1+$O$9)</f>
        <v>0.7114321829337934</v>
      </c>
      <c r="G28" s="1">
        <f t="shared" si="9"/>
        <v>0.93799353700826482</v>
      </c>
      <c r="H28" s="31">
        <f t="shared" si="3"/>
        <v>6.2006462991735137E-2</v>
      </c>
      <c r="I28" s="4">
        <f t="shared" si="11"/>
        <v>0.14112948270296083</v>
      </c>
      <c r="J28" s="2">
        <f t="shared" si="4"/>
        <v>141857.70904998822</v>
      </c>
      <c r="N28" t="s">
        <v>35</v>
      </c>
      <c r="O28" s="4">
        <v>0.12</v>
      </c>
      <c r="P28" s="26" t="s">
        <v>79</v>
      </c>
    </row>
    <row r="29" spans="1:16" x14ac:dyDescent="0.2">
      <c r="A29">
        <v>2034</v>
      </c>
      <c r="B29" s="2">
        <f t="shared" si="5"/>
        <v>1441125.6781783022</v>
      </c>
      <c r="C29" s="2">
        <f t="shared" si="6"/>
        <v>1099478.9388937294</v>
      </c>
      <c r="D29" s="2">
        <f t="shared" si="7"/>
        <v>53681.845754044101</v>
      </c>
      <c r="E29" s="2">
        <f t="shared" si="8"/>
        <v>1153160.7846477735</v>
      </c>
      <c r="F29" s="3">
        <f>F28 * (1+$O$9)</f>
        <v>0.80018058251897972</v>
      </c>
      <c r="G29" s="1">
        <f t="shared" si="9"/>
        <v>0.95344808246281032</v>
      </c>
      <c r="H29" s="31">
        <f t="shared" si="3"/>
        <v>4.655191753718968E-2</v>
      </c>
      <c r="I29" s="4">
        <f t="shared" si="11"/>
        <v>0.13013661254372383</v>
      </c>
      <c r="J29" s="2">
        <f t="shared" si="4"/>
        <v>150068.43823232385</v>
      </c>
      <c r="N29" t="s">
        <v>16</v>
      </c>
      <c r="O29">
        <f>COUNT(A25:A30) - 1</f>
        <v>5</v>
      </c>
    </row>
    <row r="30" spans="1:16" x14ac:dyDescent="0.2">
      <c r="A30">
        <v>2035</v>
      </c>
      <c r="B30" s="2">
        <f t="shared" si="5"/>
        <v>1469948.1917418684</v>
      </c>
      <c r="C30" s="2">
        <f t="shared" si="6"/>
        <v>1281812.9992929548</v>
      </c>
      <c r="D30" s="2">
        <f t="shared" si="7"/>
        <v>41140.373274726218</v>
      </c>
      <c r="E30" s="2">
        <f t="shared" si="8"/>
        <v>1322953.3725676809</v>
      </c>
      <c r="F30" s="3">
        <f>F29 * (1+$O$9)</f>
        <v>0.89999999999999958</v>
      </c>
      <c r="G30" s="1">
        <f t="shared" si="9"/>
        <v>0.96890262791735582</v>
      </c>
      <c r="H30" s="31">
        <f t="shared" si="3"/>
        <v>3.1097372082644223E-2</v>
      </c>
      <c r="I30" s="4">
        <v>0.12</v>
      </c>
      <c r="J30" s="2">
        <f t="shared" si="4"/>
        <v>158754.4047081217</v>
      </c>
      <c r="N30" t="s">
        <v>5</v>
      </c>
      <c r="O30" s="1">
        <f>((O28/I25) ^ (1/O29)) - 1</f>
        <v>-7.7892088518272229E-2</v>
      </c>
    </row>
    <row r="31" spans="1:16" x14ac:dyDescent="0.2">
      <c r="E31" s="2"/>
    </row>
    <row r="32" spans="1:16" x14ac:dyDescent="0.2">
      <c r="K32" s="2"/>
      <c r="L32" s="2"/>
    </row>
    <row r="33" spans="11:12" x14ac:dyDescent="0.2">
      <c r="K33" s="1"/>
      <c r="L33" s="2"/>
    </row>
    <row r="34" spans="11:12" x14ac:dyDescent="0.2">
      <c r="L34" s="2"/>
    </row>
    <row r="35" spans="11:12" x14ac:dyDescent="0.2">
      <c r="L35" s="2"/>
    </row>
  </sheetData>
  <hyperlinks>
    <hyperlink ref="A3" r:id="rId1" xr:uid="{436FEF8C-80C2-B449-AADA-C4A37131B3A1}"/>
    <hyperlink ref="A2" r:id="rId2" xr:uid="{D0C081B8-F772-7D4A-B119-D3924EEE86F9}"/>
    <hyperlink ref="K2" r:id="rId3" location=":~:text=Australia%20Motor%20Vehicles%20Sales%20Growth%20rate%20is%20updated%20monthly%2C%20available,86%2C804.0%20units%20in%20Jan%202025." xr:uid="{1483B711-D515-7C47-9E1F-2A5812DDE3AF}"/>
  </hyperlink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6370-76CC-834A-8274-C033373DA8C6}">
  <dimension ref="A1:L20"/>
  <sheetViews>
    <sheetView zoomScale="115" workbookViewId="0">
      <selection activeCell="E8" sqref="E8"/>
    </sheetView>
  </sheetViews>
  <sheetFormatPr baseColWidth="10" defaultRowHeight="16" x14ac:dyDescent="0.2"/>
  <cols>
    <col min="1" max="1" width="11.6640625" bestFit="1" customWidth="1"/>
    <col min="2" max="2" width="15.5" bestFit="1" customWidth="1"/>
    <col min="6" max="6" width="14.33203125" customWidth="1"/>
    <col min="8" max="8" width="14.33203125" customWidth="1"/>
  </cols>
  <sheetData>
    <row r="1" spans="1:12" ht="22" x14ac:dyDescent="0.3">
      <c r="A1" s="40" t="s">
        <v>62</v>
      </c>
    </row>
    <row r="2" spans="1:12" x14ac:dyDescent="0.2">
      <c r="A2" s="5" t="s">
        <v>0</v>
      </c>
    </row>
    <row r="3" spans="1:12" x14ac:dyDescent="0.2">
      <c r="A3" s="5"/>
    </row>
    <row r="4" spans="1:12" x14ac:dyDescent="0.2">
      <c r="A4" s="6" t="s">
        <v>1</v>
      </c>
      <c r="B4" s="7" t="s">
        <v>2</v>
      </c>
      <c r="C4" s="7" t="s">
        <v>3</v>
      </c>
      <c r="D4" s="7" t="s">
        <v>4</v>
      </c>
      <c r="E4" s="34" t="s">
        <v>34</v>
      </c>
      <c r="F4" s="7" t="s">
        <v>37</v>
      </c>
    </row>
    <row r="5" spans="1:12" x14ac:dyDescent="0.2">
      <c r="A5" s="8">
        <v>2024</v>
      </c>
      <c r="B5" s="2">
        <v>733000</v>
      </c>
      <c r="C5" s="2">
        <f>B5*D5</f>
        <v>8062.9999999999991</v>
      </c>
      <c r="D5" s="3">
        <v>1.0999999999999999E-2</v>
      </c>
      <c r="E5" s="35"/>
      <c r="H5" s="2"/>
    </row>
    <row r="6" spans="1:12" x14ac:dyDescent="0.2">
      <c r="A6" s="8">
        <f>A5+1</f>
        <v>2025</v>
      </c>
      <c r="B6" s="2">
        <v>955000</v>
      </c>
      <c r="C6" s="2">
        <f t="shared" ref="C6:C16" si="0">B6*D6</f>
        <v>25785</v>
      </c>
      <c r="D6" s="3">
        <v>2.7E-2</v>
      </c>
      <c r="E6" s="36">
        <v>0.2</v>
      </c>
      <c r="F6" s="2">
        <f t="shared" ref="F6:F16" si="1">E6*C6</f>
        <v>5157</v>
      </c>
    </row>
    <row r="7" spans="1:12" x14ac:dyDescent="0.2">
      <c r="A7" s="8">
        <f t="shared" ref="A7:A16" si="2">A6+1</f>
        <v>2026</v>
      </c>
      <c r="B7" s="2">
        <v>982000</v>
      </c>
      <c r="C7" s="2">
        <f t="shared" si="0"/>
        <v>54010</v>
      </c>
      <c r="D7" s="3">
        <v>5.5E-2</v>
      </c>
      <c r="E7" s="36">
        <f>E6 * (1+$K$11)</f>
        <v>0.22368538294402895</v>
      </c>
      <c r="F7" s="2">
        <f t="shared" si="1"/>
        <v>12081.247532807003</v>
      </c>
    </row>
    <row r="8" spans="1:12" x14ac:dyDescent="0.2">
      <c r="A8" s="8">
        <f t="shared" si="2"/>
        <v>2027</v>
      </c>
      <c r="B8" s="2">
        <v>1010000</v>
      </c>
      <c r="C8" s="2">
        <f t="shared" si="0"/>
        <v>133320</v>
      </c>
      <c r="D8" s="3">
        <v>0.13200000000000001</v>
      </c>
      <c r="E8" s="36">
        <f t="shared" ref="E8:E10" si="3">E7 * (1+$K$11)</f>
        <v>0.25017575271408438</v>
      </c>
      <c r="F8" s="2">
        <f t="shared" si="1"/>
        <v>33353.431351841726</v>
      </c>
    </row>
    <row r="9" spans="1:12" x14ac:dyDescent="0.2">
      <c r="A9" s="8">
        <f t="shared" si="2"/>
        <v>2028</v>
      </c>
      <c r="B9" s="2">
        <v>1040000</v>
      </c>
      <c r="C9" s="2">
        <f t="shared" si="0"/>
        <v>182000</v>
      </c>
      <c r="D9" s="3">
        <v>0.17499999999999999</v>
      </c>
      <c r="E9" s="36">
        <f t="shared" si="3"/>
        <v>0.27980329524580322</v>
      </c>
      <c r="F9" s="2">
        <f t="shared" si="1"/>
        <v>50924.199734736183</v>
      </c>
      <c r="J9" t="s">
        <v>36</v>
      </c>
      <c r="K9" s="4">
        <v>0.35</v>
      </c>
      <c r="L9" s="26" t="s">
        <v>80</v>
      </c>
    </row>
    <row r="10" spans="1:12" x14ac:dyDescent="0.2">
      <c r="A10" s="8">
        <f t="shared" si="2"/>
        <v>2029</v>
      </c>
      <c r="B10" s="2">
        <v>1070000</v>
      </c>
      <c r="C10" s="2">
        <f t="shared" si="0"/>
        <v>251450</v>
      </c>
      <c r="D10" s="3">
        <v>0.23499999999999999</v>
      </c>
      <c r="E10" s="36">
        <f t="shared" si="3"/>
        <v>0.31293953623029341</v>
      </c>
      <c r="F10" s="2">
        <f t="shared" si="1"/>
        <v>78688.646385107277</v>
      </c>
      <c r="J10" t="s">
        <v>16</v>
      </c>
      <c r="K10">
        <f>COUNT(A6:A11) - 1</f>
        <v>5</v>
      </c>
    </row>
    <row r="11" spans="1:12" x14ac:dyDescent="0.2">
      <c r="A11" s="8">
        <f t="shared" si="2"/>
        <v>2030</v>
      </c>
      <c r="B11" s="2">
        <v>1101000</v>
      </c>
      <c r="C11" s="2">
        <f t="shared" si="0"/>
        <v>341310</v>
      </c>
      <c r="D11" s="3">
        <v>0.31</v>
      </c>
      <c r="E11" s="36">
        <v>0.35</v>
      </c>
      <c r="F11" s="2">
        <f t="shared" si="1"/>
        <v>119458.49999999999</v>
      </c>
      <c r="J11" t="s">
        <v>5</v>
      </c>
      <c r="K11" s="1">
        <f>((K9/E6) ^ (1/K10)) - 1</f>
        <v>0.11842691472014466</v>
      </c>
    </row>
    <row r="12" spans="1:12" x14ac:dyDescent="0.2">
      <c r="A12" s="8">
        <f t="shared" si="2"/>
        <v>2031</v>
      </c>
      <c r="B12" s="2">
        <v>1129000</v>
      </c>
      <c r="C12" s="2">
        <f t="shared" si="0"/>
        <v>398537</v>
      </c>
      <c r="D12" s="3">
        <v>0.35299999999999998</v>
      </c>
      <c r="E12" s="36">
        <f>E11 * (1+$K$16)</f>
        <v>0.33472337492651294</v>
      </c>
      <c r="F12" s="2">
        <f t="shared" si="1"/>
        <v>133399.6496730877</v>
      </c>
    </row>
    <row r="13" spans="1:12" x14ac:dyDescent="0.2">
      <c r="A13" s="8">
        <f t="shared" si="2"/>
        <v>2032</v>
      </c>
      <c r="B13" s="2">
        <v>1157000</v>
      </c>
      <c r="C13" s="2">
        <f t="shared" si="0"/>
        <v>491725</v>
      </c>
      <c r="D13" s="3">
        <v>0.42499999999999999</v>
      </c>
      <c r="E13" s="36">
        <f t="shared" ref="E13:E15" si="4">E12 * (1+$K$16)</f>
        <v>0.32011353634912842</v>
      </c>
      <c r="F13" s="2">
        <f t="shared" si="1"/>
        <v>157407.82866127518</v>
      </c>
    </row>
    <row r="14" spans="1:12" x14ac:dyDescent="0.2">
      <c r="A14" s="8">
        <f t="shared" si="2"/>
        <v>2033</v>
      </c>
      <c r="B14" s="2">
        <v>1187000</v>
      </c>
      <c r="C14" s="2">
        <f t="shared" si="0"/>
        <v>569760</v>
      </c>
      <c r="D14" s="3">
        <v>0.48</v>
      </c>
      <c r="E14" s="36">
        <f t="shared" si="4"/>
        <v>0.30614138070411784</v>
      </c>
      <c r="F14" s="2">
        <f t="shared" si="1"/>
        <v>174427.11306997819</v>
      </c>
      <c r="J14" t="s">
        <v>35</v>
      </c>
      <c r="K14" s="4">
        <v>0.28000000000000003</v>
      </c>
      <c r="L14" s="26" t="s">
        <v>79</v>
      </c>
    </row>
    <row r="15" spans="1:12" x14ac:dyDescent="0.2">
      <c r="A15" s="8">
        <f t="shared" si="2"/>
        <v>2034</v>
      </c>
      <c r="B15" s="2">
        <v>1218000</v>
      </c>
      <c r="C15" s="2">
        <f t="shared" si="0"/>
        <v>682080.00000000012</v>
      </c>
      <c r="D15" s="4">
        <v>0.56000000000000005</v>
      </c>
      <c r="E15" s="36">
        <f t="shared" si="4"/>
        <v>0.29277907472555648</v>
      </c>
      <c r="F15" s="2">
        <f t="shared" si="1"/>
        <v>199698.7512888076</v>
      </c>
      <c r="J15" t="s">
        <v>16</v>
      </c>
      <c r="K15">
        <f>COUNT(A11:A16) - 1</f>
        <v>5</v>
      </c>
    </row>
    <row r="16" spans="1:12" x14ac:dyDescent="0.2">
      <c r="A16" s="8">
        <f t="shared" si="2"/>
        <v>2035</v>
      </c>
      <c r="B16" s="2">
        <v>1250000</v>
      </c>
      <c r="C16" s="2">
        <f t="shared" si="0"/>
        <v>800000</v>
      </c>
      <c r="D16" s="4">
        <v>0.64</v>
      </c>
      <c r="E16" s="36">
        <v>0.28000000000000003</v>
      </c>
      <c r="F16" s="2">
        <f t="shared" si="1"/>
        <v>224000.00000000003</v>
      </c>
      <c r="J16" t="s">
        <v>5</v>
      </c>
      <c r="K16" s="1">
        <f>((K14/E11) ^ (1/K15)) - 1</f>
        <v>-4.3647500209962997E-2</v>
      </c>
    </row>
    <row r="17" spans="2:8" x14ac:dyDescent="0.2">
      <c r="F17" s="4"/>
      <c r="G17" s="2"/>
    </row>
    <row r="18" spans="2:8" x14ac:dyDescent="0.2">
      <c r="B18" s="1"/>
      <c r="C18" s="1"/>
      <c r="G18" s="2"/>
      <c r="H18" s="2"/>
    </row>
    <row r="20" spans="2:8" x14ac:dyDescent="0.2">
      <c r="C20" s="2"/>
      <c r="D20" s="1"/>
    </row>
  </sheetData>
  <hyperlinks>
    <hyperlink ref="A2" r:id="rId1" xr:uid="{F16190B6-12CA-574F-80E4-D034F9279E64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EB6F-F3F7-4A4F-9372-933B0C79439D}">
  <dimension ref="A1:U39"/>
  <sheetViews>
    <sheetView workbookViewId="0">
      <selection activeCell="G28" sqref="G28"/>
    </sheetView>
  </sheetViews>
  <sheetFormatPr baseColWidth="10" defaultRowHeight="16" x14ac:dyDescent="0.2"/>
  <cols>
    <col min="1" max="1" width="44.33203125" bestFit="1" customWidth="1"/>
    <col min="2" max="2" width="14" customWidth="1"/>
    <col min="15" max="15" width="11.83203125" bestFit="1" customWidth="1"/>
    <col min="16" max="16" width="13.6640625" bestFit="1" customWidth="1"/>
    <col min="17" max="17" width="42.33203125" bestFit="1" customWidth="1"/>
  </cols>
  <sheetData>
    <row r="1" spans="1:15" x14ac:dyDescent="0.2">
      <c r="A1" s="5" t="s">
        <v>32</v>
      </c>
    </row>
    <row r="2" spans="1:15" x14ac:dyDescent="0.2">
      <c r="A2" s="5" t="s">
        <v>38</v>
      </c>
    </row>
    <row r="5" spans="1:15" x14ac:dyDescent="0.2">
      <c r="B5" s="41" t="s">
        <v>8</v>
      </c>
      <c r="C5" s="41"/>
      <c r="D5" s="41"/>
      <c r="E5" s="42"/>
      <c r="F5" s="43" t="s">
        <v>23</v>
      </c>
      <c r="G5" s="41"/>
      <c r="H5" s="41"/>
      <c r="I5" s="42"/>
      <c r="J5" s="43" t="s">
        <v>34</v>
      </c>
      <c r="K5" s="41"/>
      <c r="L5" s="41"/>
      <c r="M5" s="41"/>
    </row>
    <row r="6" spans="1:15" x14ac:dyDescent="0.2">
      <c r="A6" s="7" t="s">
        <v>22</v>
      </c>
      <c r="B6" s="7">
        <v>2023</v>
      </c>
      <c r="C6" s="7">
        <v>2022</v>
      </c>
      <c r="D6" s="7">
        <v>2021</v>
      </c>
      <c r="E6" s="7">
        <v>2020</v>
      </c>
      <c r="F6" s="34">
        <v>2023</v>
      </c>
      <c r="G6" s="7">
        <v>2022</v>
      </c>
      <c r="H6" s="7">
        <v>2021</v>
      </c>
      <c r="I6" s="7">
        <v>2020</v>
      </c>
      <c r="J6" s="34">
        <v>2023</v>
      </c>
      <c r="K6" s="7">
        <v>2022</v>
      </c>
      <c r="L6" s="7">
        <v>2021</v>
      </c>
      <c r="M6" s="7">
        <v>2020</v>
      </c>
    </row>
    <row r="7" spans="1:15" x14ac:dyDescent="0.2">
      <c r="A7" t="s">
        <v>24</v>
      </c>
      <c r="B7" s="2">
        <v>1390000</v>
      </c>
      <c r="C7" s="2">
        <v>990000</v>
      </c>
      <c r="D7" s="2">
        <v>630000</v>
      </c>
      <c r="E7" s="2">
        <v>294000</v>
      </c>
      <c r="F7" s="39">
        <v>674924</v>
      </c>
      <c r="G7" s="2">
        <v>522444</v>
      </c>
      <c r="H7" s="2">
        <v>348094</v>
      </c>
      <c r="I7" s="2">
        <v>205600</v>
      </c>
      <c r="J7" s="38">
        <f>F7/B7</f>
        <v>0.48555683453237408</v>
      </c>
      <c r="K7" s="1">
        <f t="shared" ref="K7:M7" si="0">G7/C7</f>
        <v>0.52772121212121215</v>
      </c>
      <c r="L7" s="1">
        <f t="shared" si="0"/>
        <v>0.55253015873015876</v>
      </c>
      <c r="M7" s="1">
        <f t="shared" si="0"/>
        <v>0.69931972789115648</v>
      </c>
    </row>
    <row r="8" spans="1:15" x14ac:dyDescent="0.2">
      <c r="A8" t="s">
        <v>25</v>
      </c>
      <c r="B8" s="2">
        <v>8100000</v>
      </c>
      <c r="C8" s="2">
        <v>5900000</v>
      </c>
      <c r="D8" s="2">
        <v>3250000</v>
      </c>
      <c r="E8" s="2">
        <v>1140000</v>
      </c>
      <c r="F8" s="39">
        <v>603664</v>
      </c>
      <c r="G8" s="2">
        <v>513644</v>
      </c>
      <c r="H8" s="2">
        <v>473078</v>
      </c>
      <c r="I8" s="2">
        <v>135449</v>
      </c>
      <c r="J8" s="38">
        <f t="shared" ref="J8:J15" si="1">F8/B8</f>
        <v>7.4526419753086423E-2</v>
      </c>
      <c r="K8" s="1">
        <f t="shared" ref="K8:K15" si="2">G8/C8</f>
        <v>8.7058305084745768E-2</v>
      </c>
      <c r="L8" s="1">
        <f t="shared" ref="L8:L15" si="3">H8/D8</f>
        <v>0.14556246153846153</v>
      </c>
      <c r="M8" s="1">
        <f t="shared" ref="M8:M15" si="4">I8/E8</f>
        <v>0.11881491228070175</v>
      </c>
    </row>
    <row r="9" spans="1:15" x14ac:dyDescent="0.2">
      <c r="A9" t="s">
        <v>27</v>
      </c>
      <c r="B9" s="2">
        <v>700000</v>
      </c>
      <c r="C9" s="2">
        <v>830000</v>
      </c>
      <c r="D9" s="2">
        <v>690000</v>
      </c>
      <c r="E9" s="2">
        <v>390000</v>
      </c>
      <c r="F9" s="39">
        <v>63682</v>
      </c>
      <c r="G9" s="2">
        <v>69963</v>
      </c>
      <c r="H9" s="2">
        <v>39712</v>
      </c>
      <c r="I9" s="2">
        <v>16693</v>
      </c>
      <c r="J9" s="38">
        <f t="shared" si="1"/>
        <v>9.0974285714285716E-2</v>
      </c>
      <c r="K9" s="1">
        <f t="shared" si="2"/>
        <v>8.4292771084337345E-2</v>
      </c>
      <c r="L9" s="1">
        <f t="shared" si="3"/>
        <v>5.7553623188405796E-2</v>
      </c>
      <c r="M9" s="1">
        <f t="shared" si="4"/>
        <v>4.2802564102564104E-2</v>
      </c>
    </row>
    <row r="10" spans="1:15" x14ac:dyDescent="0.2">
      <c r="A10" t="s">
        <v>29</v>
      </c>
      <c r="B10" s="2">
        <v>470000</v>
      </c>
      <c r="C10" s="2">
        <v>340000</v>
      </c>
      <c r="D10" s="2">
        <v>310000</v>
      </c>
      <c r="E10" s="2">
        <v>185000</v>
      </c>
      <c r="F10" s="39">
        <v>63041</v>
      </c>
      <c r="G10" s="2">
        <v>29199</v>
      </c>
      <c r="H10" s="2">
        <v>26446</v>
      </c>
      <c r="I10" s="2">
        <v>7372</v>
      </c>
      <c r="J10" s="38">
        <f t="shared" si="1"/>
        <v>0.13412978723404256</v>
      </c>
      <c r="K10" s="1">
        <f t="shared" si="2"/>
        <v>8.5879411764705885E-2</v>
      </c>
      <c r="L10" s="1">
        <f t="shared" si="3"/>
        <v>8.5309677419354843E-2</v>
      </c>
      <c r="M10" s="1">
        <f t="shared" si="4"/>
        <v>3.9848648648648649E-2</v>
      </c>
    </row>
    <row r="11" spans="1:15" x14ac:dyDescent="0.2">
      <c r="A11" t="s">
        <v>30</v>
      </c>
      <c r="B11" s="2">
        <v>171000</v>
      </c>
      <c r="C11" s="2">
        <v>115000</v>
      </c>
      <c r="D11" s="2">
        <v>87000</v>
      </c>
      <c r="E11" s="2">
        <v>51000</v>
      </c>
      <c r="F11" s="39">
        <v>52806</v>
      </c>
      <c r="G11" s="2">
        <v>40707</v>
      </c>
      <c r="H11" s="2">
        <v>27016</v>
      </c>
      <c r="I11" s="2">
        <v>16444</v>
      </c>
      <c r="J11" s="38">
        <f t="shared" si="1"/>
        <v>0.30880701754385964</v>
      </c>
      <c r="K11" s="1">
        <f t="shared" si="2"/>
        <v>0.35397391304347825</v>
      </c>
      <c r="L11" s="1">
        <f t="shared" si="3"/>
        <v>0.31052873563218392</v>
      </c>
      <c r="M11" s="1">
        <f t="shared" si="4"/>
        <v>0.3224313725490196</v>
      </c>
    </row>
    <row r="12" spans="1:15" x14ac:dyDescent="0.2">
      <c r="A12" t="s">
        <v>28</v>
      </c>
      <c r="B12" s="2">
        <v>450000</v>
      </c>
      <c r="C12" s="2">
        <v>370000</v>
      </c>
      <c r="D12" s="2">
        <v>310000</v>
      </c>
      <c r="E12" s="2">
        <v>178000</v>
      </c>
      <c r="F12" s="39">
        <v>49571</v>
      </c>
      <c r="G12" s="2">
        <v>54622</v>
      </c>
      <c r="H12" s="2">
        <v>34853</v>
      </c>
      <c r="I12" s="2">
        <v>24766</v>
      </c>
      <c r="J12" s="38">
        <f t="shared" si="1"/>
        <v>0.11015777777777777</v>
      </c>
      <c r="K12" s="1">
        <f t="shared" si="2"/>
        <v>0.14762702702702701</v>
      </c>
      <c r="L12" s="1">
        <f t="shared" si="3"/>
        <v>0.11242903225806451</v>
      </c>
      <c r="M12" s="1">
        <f t="shared" si="4"/>
        <v>0.13913483146067415</v>
      </c>
    </row>
    <row r="13" spans="1:15" x14ac:dyDescent="0.2">
      <c r="A13" t="s">
        <v>26</v>
      </c>
      <c r="B13" s="2">
        <v>98000</v>
      </c>
      <c r="C13" s="2">
        <v>38900</v>
      </c>
      <c r="D13" s="2">
        <v>20400</v>
      </c>
      <c r="E13" s="2">
        <v>6900</v>
      </c>
      <c r="F13" s="39">
        <v>46116</v>
      </c>
      <c r="G13" s="2">
        <v>19594</v>
      </c>
      <c r="J13" s="38">
        <f t="shared" si="1"/>
        <v>0.47057142857142858</v>
      </c>
      <c r="K13" s="1">
        <f t="shared" si="2"/>
        <v>0.50370179948586113</v>
      </c>
      <c r="L13" s="1">
        <f t="shared" si="3"/>
        <v>0</v>
      </c>
      <c r="M13" s="1">
        <f t="shared" si="4"/>
        <v>0</v>
      </c>
    </row>
    <row r="14" spans="1:15" x14ac:dyDescent="0.2">
      <c r="A14" t="s">
        <v>31</v>
      </c>
      <c r="B14" s="2">
        <v>110000</v>
      </c>
      <c r="C14" s="2">
        <v>156000</v>
      </c>
      <c r="D14" s="2">
        <v>148000</v>
      </c>
      <c r="E14" s="2">
        <v>106000</v>
      </c>
      <c r="F14" s="39">
        <v>25408</v>
      </c>
      <c r="G14" s="2">
        <v>21303</v>
      </c>
      <c r="H14" s="2">
        <v>20397</v>
      </c>
      <c r="I14" s="2">
        <v>8737</v>
      </c>
      <c r="J14" s="38">
        <f t="shared" si="1"/>
        <v>0.23098181818181818</v>
      </c>
      <c r="K14" s="1">
        <f t="shared" si="2"/>
        <v>0.1365576923076923</v>
      </c>
      <c r="L14" s="1">
        <f t="shared" si="3"/>
        <v>0.13781756756756758</v>
      </c>
      <c r="M14" s="1">
        <f t="shared" si="4"/>
        <v>8.242452830188679E-2</v>
      </c>
    </row>
    <row r="15" spans="1:15" ht="18" x14ac:dyDescent="0.2">
      <c r="A15" t="s">
        <v>33</v>
      </c>
      <c r="B15" s="2">
        <v>28900</v>
      </c>
      <c r="C15" s="2">
        <v>18900</v>
      </c>
      <c r="D15" s="2">
        <v>4100</v>
      </c>
      <c r="E15" s="2">
        <v>691</v>
      </c>
      <c r="F15" s="35"/>
      <c r="J15" s="38">
        <f t="shared" si="1"/>
        <v>0</v>
      </c>
      <c r="K15" s="1">
        <f t="shared" si="2"/>
        <v>0</v>
      </c>
      <c r="L15" s="1">
        <f t="shared" si="3"/>
        <v>0</v>
      </c>
      <c r="M15" s="1">
        <f t="shared" si="4"/>
        <v>0</v>
      </c>
      <c r="O15" s="12"/>
    </row>
    <row r="16" spans="1:15" x14ac:dyDescent="0.2">
      <c r="B16" s="2"/>
      <c r="C16" s="2"/>
      <c r="D16" s="2"/>
    </row>
    <row r="17" spans="2:21" x14ac:dyDescent="0.2">
      <c r="Q17" s="2"/>
      <c r="R17" s="2"/>
      <c r="S17" s="2"/>
      <c r="T17" s="2"/>
      <c r="U17" s="2"/>
    </row>
    <row r="18" spans="2:21" x14ac:dyDescent="0.2">
      <c r="E18" s="2"/>
      <c r="F18" s="1"/>
      <c r="G18" s="1"/>
      <c r="H18" s="1"/>
      <c r="I18" s="1"/>
      <c r="P18" s="2"/>
      <c r="Q18" s="2"/>
      <c r="R18" s="2"/>
      <c r="S18" s="2"/>
      <c r="T18" s="2"/>
      <c r="U18" s="2"/>
    </row>
    <row r="19" spans="2:21" x14ac:dyDescent="0.2">
      <c r="F19" s="1"/>
      <c r="G19" s="1"/>
      <c r="H19" s="1"/>
      <c r="I19" s="1"/>
      <c r="P19" s="2"/>
      <c r="Q19" s="2"/>
      <c r="R19" s="2"/>
      <c r="S19" s="2"/>
      <c r="T19" s="2"/>
      <c r="U19" s="2"/>
    </row>
    <row r="20" spans="2:21" x14ac:dyDescent="0.2">
      <c r="F20" s="1"/>
      <c r="G20" s="1"/>
      <c r="H20" s="1"/>
      <c r="I20" s="1"/>
      <c r="O20" s="13"/>
      <c r="P20" s="2"/>
      <c r="Q20" s="2"/>
      <c r="R20" s="2"/>
      <c r="S20" s="2"/>
      <c r="T20" s="2"/>
      <c r="U20" s="2"/>
    </row>
    <row r="21" spans="2:21" x14ac:dyDescent="0.2">
      <c r="F21" s="1"/>
      <c r="G21" s="1"/>
      <c r="H21" s="1"/>
      <c r="I21" s="1"/>
      <c r="O21" s="13"/>
      <c r="P21" s="2"/>
      <c r="Q21" s="2"/>
      <c r="R21" s="2"/>
      <c r="S21" s="2"/>
      <c r="T21" s="2"/>
      <c r="U21" s="2"/>
    </row>
    <row r="22" spans="2:21" x14ac:dyDescent="0.2">
      <c r="F22" s="1"/>
      <c r="G22" s="1"/>
      <c r="H22" s="1"/>
      <c r="I22" s="1"/>
      <c r="P22" s="2"/>
      <c r="Q22" s="2"/>
      <c r="R22" s="2"/>
      <c r="S22" s="2"/>
      <c r="T22" s="2"/>
      <c r="U22" s="2"/>
    </row>
    <row r="23" spans="2:21" x14ac:dyDescent="0.2">
      <c r="F23" s="1"/>
      <c r="G23" s="1"/>
      <c r="H23" s="1"/>
      <c r="I23" s="1"/>
      <c r="P23" s="2"/>
      <c r="Q23" s="2"/>
      <c r="R23" s="2"/>
      <c r="S23" s="2"/>
    </row>
    <row r="24" spans="2:21" x14ac:dyDescent="0.2">
      <c r="F24" s="1"/>
      <c r="G24" s="1"/>
      <c r="H24" s="1"/>
      <c r="I24" s="1"/>
      <c r="P24" s="2"/>
      <c r="Q24" s="2"/>
      <c r="R24" s="2"/>
      <c r="S24" s="2"/>
      <c r="T24" s="2"/>
      <c r="U24" s="2"/>
    </row>
    <row r="25" spans="2:21" x14ac:dyDescent="0.2">
      <c r="F25" s="1"/>
      <c r="G25" s="1"/>
      <c r="H25" s="1"/>
      <c r="I25" s="1"/>
      <c r="O25" s="13"/>
      <c r="P25" s="2"/>
    </row>
    <row r="26" spans="2:21" x14ac:dyDescent="0.2">
      <c r="O26" s="1"/>
      <c r="P26" s="2"/>
    </row>
    <row r="27" spans="2:21" x14ac:dyDescent="0.2">
      <c r="B27" s="2"/>
      <c r="O27" s="2"/>
      <c r="P27" s="2"/>
    </row>
    <row r="28" spans="2:21" x14ac:dyDescent="0.2">
      <c r="B28" s="2"/>
      <c r="P28" s="2"/>
    </row>
    <row r="29" spans="2:21" x14ac:dyDescent="0.2">
      <c r="B29" s="2"/>
    </row>
    <row r="30" spans="2:21" x14ac:dyDescent="0.2">
      <c r="B30" s="2"/>
    </row>
    <row r="31" spans="2:21" x14ac:dyDescent="0.2">
      <c r="M31" s="2"/>
    </row>
    <row r="32" spans="2:21" x14ac:dyDescent="0.2">
      <c r="B32" s="2"/>
    </row>
    <row r="33" spans="2:16" x14ac:dyDescent="0.2">
      <c r="B33" s="2"/>
      <c r="M33" s="9"/>
      <c r="N33" s="9"/>
      <c r="O33" s="9"/>
      <c r="P33" s="1"/>
    </row>
    <row r="34" spans="2:16" x14ac:dyDescent="0.2">
      <c r="B34" s="2"/>
    </row>
    <row r="35" spans="2:16" x14ac:dyDescent="0.2">
      <c r="B35" s="2"/>
      <c r="C35" s="1"/>
      <c r="M35" s="11"/>
    </row>
    <row r="36" spans="2:16" x14ac:dyDescent="0.2">
      <c r="B36" s="2"/>
    </row>
    <row r="37" spans="2:16" x14ac:dyDescent="0.2">
      <c r="B37" s="2"/>
    </row>
    <row r="38" spans="2:16" x14ac:dyDescent="0.2">
      <c r="B38" s="10"/>
    </row>
    <row r="39" spans="2:16" x14ac:dyDescent="0.2">
      <c r="B39" s="2"/>
    </row>
  </sheetData>
  <mergeCells count="3">
    <mergeCell ref="B5:E5"/>
    <mergeCell ref="F5:I5"/>
    <mergeCell ref="J5:M5"/>
  </mergeCells>
  <hyperlinks>
    <hyperlink ref="A1" r:id="rId1" xr:uid="{8C8C1BEB-504E-9640-8DC2-AEBEB541B432}"/>
    <hyperlink ref="A2" r:id="rId2" xr:uid="{8FA315B8-A978-3B4B-8F6D-408CCEC72433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Tesla AUS Rev &amp; Costs</vt:lpstr>
      <vt:lpstr>Tesla Saudi Rev &amp; Costs</vt:lpstr>
      <vt:lpstr>AUS Car &amp; EV Sales (Backup)</vt:lpstr>
      <vt:lpstr>Saudi Car &amp; EV Sales (Backup)</vt:lpstr>
      <vt:lpstr>EV Sales &amp; Tesla Sales (Backup)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Varun</dc:creator>
  <cp:lastModifiedBy>Ved Varun</cp:lastModifiedBy>
  <cp:lastPrinted>2025-07-01T16:44:00Z</cp:lastPrinted>
  <dcterms:created xsi:type="dcterms:W3CDTF">2025-03-11T17:25:28Z</dcterms:created>
  <dcterms:modified xsi:type="dcterms:W3CDTF">2025-11-20T22:19:47Z</dcterms:modified>
</cp:coreProperties>
</file>